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uar\Documents\trabajo isseg\SGSPCSI\Database\"/>
    </mc:Choice>
  </mc:AlternateContent>
  <xr:revisionPtr revIDLastSave="0" documentId="13_ncr:1_{4C04C765-FB18-4DFF-9BB5-194BDA85A2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istorial de versiones" sheetId="34" r:id="rId1"/>
    <sheet name="INDICE" sheetId="1" r:id="rId2"/>
    <sheet name="rol" sheetId="38" r:id="rId3"/>
    <sheet name="usuario" sheetId="3" r:id="rId4"/>
    <sheet name="usuario_rol" sheetId="4" r:id="rId5"/>
    <sheet name="area" sheetId="5" r:id="rId6"/>
    <sheet name="usuario_area" sheetId="6" r:id="rId7"/>
    <sheet name="sistema" sheetId="7" r:id="rId8"/>
    <sheet name="area_sistema" sheetId="8" r:id="rId9"/>
    <sheet name="tipo_solicitud" sheetId="9" r:id="rId10"/>
    <sheet name="prioridad_solicitud" sheetId="10" r:id="rId11"/>
    <sheet name="estado_solicitud" sheetId="11" r:id="rId12"/>
    <sheet name="solicitud" sheetId="12" r:id="rId13"/>
    <sheet name="solicitud_desarrollador" sheetId="13" r:id="rId14"/>
    <sheet name="solicitud_historial_estado" sheetId="14" r:id="rId15"/>
    <sheet name="solicitud_aprobacion" sheetId="15" r:id="rId16"/>
    <sheet name="solicitud_comentario" sheetId="16" r:id="rId17"/>
    <sheet name="solicitud_adjunto" sheetId="17" r:id="rId18"/>
    <sheet name="notificacion" sheetId="18" r:id="rId19"/>
    <sheet name="usuario_credencial" sheetId="19" r:id="rId20"/>
    <sheet name="menu_opcion" sheetId="20" r:id="rId21"/>
    <sheet name="rol_menu_opcion" sheetId="21" r:id="rId22"/>
    <sheet name="tipo_modificacion" sheetId="22" r:id="rId23"/>
    <sheet name="solicitud_modificacion" sheetId="23" r:id="rId24"/>
    <sheet name="solicitud_requerimiento_tecnico" sheetId="24" r:id="rId25"/>
    <sheet name="tarea_desarrollo" sheetId="25" r:id="rId26"/>
    <sheet name="tarea_desarrollo_asignacion" sheetId="26" r:id="rId27"/>
    <sheet name="actividad_reciente" sheetId="27" r:id="rId28"/>
    <sheet name="proyecto" sheetId="28" r:id="rId29"/>
    <sheet name="proyecto_solicitud" sheetId="29" r:id="rId30"/>
    <sheet name="proyecto_miembro" sheetId="30" r:id="rId31"/>
    <sheet name="sistema_desarrollador" sheetId="39" r:id="rId32"/>
    <sheet name="documento_proyecto" sheetId="31" r:id="rId33"/>
    <sheet name="evento_calendario" sheetId="32" r:id="rId34"/>
    <sheet name="evento_participante" sheetId="33" r:id="rId35"/>
  </sheets>
  <definedNames>
    <definedName name="_xlnm._FilterDatabase" localSheetId="1" hidden="1">INDICE!$A$2:$D$35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10" i="1"/>
  <c r="C33" i="1"/>
  <c r="C6" i="1"/>
  <c r="C5" i="1"/>
  <c r="C18" i="1"/>
  <c r="C27" i="1"/>
  <c r="C35" i="1"/>
  <c r="C17" i="1"/>
  <c r="C31" i="1"/>
  <c r="C25" i="1"/>
  <c r="C22" i="1"/>
  <c r="C32" i="1"/>
  <c r="C19" i="1"/>
  <c r="C34" i="1"/>
  <c r="C8" i="1"/>
  <c r="C7" i="1"/>
  <c r="C26" i="1"/>
  <c r="C12" i="1"/>
  <c r="C20" i="1"/>
  <c r="C4" i="1"/>
  <c r="C16" i="1"/>
  <c r="C21" i="1"/>
  <c r="C24" i="1"/>
  <c r="C15" i="1"/>
  <c r="C9" i="1"/>
  <c r="C14" i="1"/>
  <c r="C23" i="1"/>
  <c r="C11" i="1"/>
  <c r="C3" i="1"/>
  <c r="C30" i="1"/>
  <c r="C28" i="1"/>
  <c r="C13" i="1"/>
</calcChain>
</file>

<file path=xl/sharedStrings.xml><?xml version="1.0" encoding="utf-8"?>
<sst xmlns="http://schemas.openxmlformats.org/spreadsheetml/2006/main" count="1701" uniqueCount="580">
  <si>
    <t>Descripción</t>
  </si>
  <si>
    <t>Columnas</t>
  </si>
  <si>
    <t>Hoja</t>
  </si>
  <si>
    <t>rol</t>
  </si>
  <si>
    <t>Catálogo de roles del sistema.</t>
  </si>
  <si>
    <t>usuario</t>
  </si>
  <si>
    <t>Usuarios del sistema.</t>
  </si>
  <si>
    <t>usuario_rol</t>
  </si>
  <si>
    <t>Asignación N:M entre usuarios y roles.</t>
  </si>
  <si>
    <t>area</t>
  </si>
  <si>
    <t>Estructura jerárquica de áreas organizacionales.</t>
  </si>
  <si>
    <t>usuario_area</t>
  </si>
  <si>
    <t>Asignación N:M entre usuarios y áreas.</t>
  </si>
  <si>
    <t>sistema</t>
  </si>
  <si>
    <t>Catálogo de sistemas/aplicaciones.</t>
  </si>
  <si>
    <t>area_sistema</t>
  </si>
  <si>
    <t>Relación N:M entre áreas y sistemas.</t>
  </si>
  <si>
    <t>tipo_solicitud</t>
  </si>
  <si>
    <t>Catálogo de tipos de solicitud.</t>
  </si>
  <si>
    <t>prioridad_solicitud</t>
  </si>
  <si>
    <t>Catálogo de prioridades.</t>
  </si>
  <si>
    <t>estado_solicitud</t>
  </si>
  <si>
    <t>Catálogo de estados de una solicitud.</t>
  </si>
  <si>
    <t>solicitud</t>
  </si>
  <si>
    <t>Entidad principal de gestión de solicitudes.</t>
  </si>
  <si>
    <t>solicitud_desarrollador</t>
  </si>
  <si>
    <t>Asignación N:M de desarrolladores a solicitudes.</t>
  </si>
  <si>
    <t>Histórico de cambios de estado de solicitud.</t>
  </si>
  <si>
    <t>Registro de aprobaciones y rechazos.</t>
  </si>
  <si>
    <t>Comentarios asociados a solicitudes.</t>
  </si>
  <si>
    <t>Archivos adjuntos de solicitudes.</t>
  </si>
  <si>
    <t>notificacion</t>
  </si>
  <si>
    <t>Notificaciones enviadas a usuarios.</t>
  </si>
  <si>
    <t>usuario_credencial</t>
  </si>
  <si>
    <t>Credenciales y parámetros de seguridad por usuario.</t>
  </si>
  <si>
    <t>menu_opcion</t>
  </si>
  <si>
    <t>Catálogo jerárquico de opciones de menú.</t>
  </si>
  <si>
    <t>rol_menu_opcion</t>
  </si>
  <si>
    <t>Permisos por rol sobre opciones de menú.</t>
  </si>
  <si>
    <t>tipo_modificacion</t>
  </si>
  <si>
    <t>Catálogo de tipos de modificación.</t>
  </si>
  <si>
    <t>solicitud_modificacion</t>
  </si>
  <si>
    <t>Detalle especializado de solicitudes de modificación.</t>
  </si>
  <si>
    <t>solicitud_requerimiento_tecnico</t>
  </si>
  <si>
    <t>Especificación técnica de una solicitud.</t>
  </si>
  <si>
    <t>tarea_desarrollo</t>
  </si>
  <si>
    <t>Tareas operativas derivadas de solicitudes.</t>
  </si>
  <si>
    <t>tarea_desarrollo_asignacion</t>
  </si>
  <si>
    <t>Asignaciones de usuarios a tareas de desarrollo.</t>
  </si>
  <si>
    <t>actividad_reciente</t>
  </si>
  <si>
    <t>Bitácora de actividad para tableros de trabajo.</t>
  </si>
  <si>
    <t>proyecto</t>
  </si>
  <si>
    <t>Entidad de proyecto para agrupar trabajo.</t>
  </si>
  <si>
    <t>proyecto_solicitud</t>
  </si>
  <si>
    <t>Relación N:M entre proyectos y solicitudes.</t>
  </si>
  <si>
    <t>proyecto_miembro</t>
  </si>
  <si>
    <t>Participantes y roles por proyecto.</t>
  </si>
  <si>
    <t>documento_proyecto</t>
  </si>
  <si>
    <t>Documentos asociados a proyectos y solicitudes.</t>
  </si>
  <si>
    <t>evento_calendario</t>
  </si>
  <si>
    <t>Eventos de calendario para actividades y reuniones.</t>
  </si>
  <si>
    <t>evento_participante</t>
  </si>
  <si>
    <t>Participantes invitados a eventos de calendario.</t>
  </si>
  <si>
    <t>Columna</t>
  </si>
  <si>
    <t>Tipo</t>
  </si>
  <si>
    <t>Null</t>
  </si>
  <si>
    <t>Default</t>
  </si>
  <si>
    <t>Llave</t>
  </si>
  <si>
    <t>Relación</t>
  </si>
  <si>
    <t>rol_id</t>
  </si>
  <si>
    <t>INT IDENTITY(1,1)</t>
  </si>
  <si>
    <t>IDENTITY</t>
  </si>
  <si>
    <t>PK</t>
  </si>
  <si>
    <t>clave</t>
  </si>
  <si>
    <t>UK</t>
  </si>
  <si>
    <t>nombre</t>
  </si>
  <si>
    <t>VARCHAR(100)</t>
  </si>
  <si>
    <t>descripcion</t>
  </si>
  <si>
    <t>VARCHAR(500)</t>
  </si>
  <si>
    <t>activo</t>
  </si>
  <si>
    <t>BIT</t>
  </si>
  <si>
    <t>fecha_creacion</t>
  </si>
  <si>
    <t>DATETIME2</t>
  </si>
  <si>
    <t>SYSDATETIME()</t>
  </si>
  <si>
    <t>usuario_id</t>
  </si>
  <si>
    <t>nombre_pila</t>
  </si>
  <si>
    <t>apellido_paterno</t>
  </si>
  <si>
    <t>apellido_materno</t>
  </si>
  <si>
    <t>correo_institucional</t>
  </si>
  <si>
    <t>VARCHAR(180)</t>
  </si>
  <si>
    <t>puesto</t>
  </si>
  <si>
    <t>VARCHAR(120)</t>
  </si>
  <si>
    <t>usuario_rol_id</t>
  </si>
  <si>
    <t>INT</t>
  </si>
  <si>
    <t>FK</t>
  </si>
  <si>
    <t>usuario.usuario_id</t>
  </si>
  <si>
    <t>rol.rol_id</t>
  </si>
  <si>
    <t>fecha_asignacion</t>
  </si>
  <si>
    <t>area_id</t>
  </si>
  <si>
    <t>area_padre_id</t>
  </si>
  <si>
    <t>area.area_id</t>
  </si>
  <si>
    <t>VARCHAR(40)</t>
  </si>
  <si>
    <t>VARCHAR(150)</t>
  </si>
  <si>
    <t>activa</t>
  </si>
  <si>
    <t>VARCHAR(30)</t>
  </si>
  <si>
    <t>VARCHAR(255)</t>
  </si>
  <si>
    <t>Nombre de la tabla:</t>
  </si>
  <si>
    <t>No</t>
  </si>
  <si>
    <t>Sí</t>
  </si>
  <si>
    <t>usuario_area_id</t>
  </si>
  <si>
    <t>sistema_id</t>
  </si>
  <si>
    <t>VARCHAR(50)</t>
  </si>
  <si>
    <t>VARCHAR(1000)</t>
  </si>
  <si>
    <t>area_sistema_id</t>
  </si>
  <si>
    <t>fecha_alta</t>
  </si>
  <si>
    <t>sistema.sistema_id</t>
  </si>
  <si>
    <t>tipo_solicitud_id</t>
  </si>
  <si>
    <t>prioridad_solicitud_id</t>
  </si>
  <si>
    <t>VARCHAR(80)</t>
  </si>
  <si>
    <t>orden</t>
  </si>
  <si>
    <t>estado_solicitud_id</t>
  </si>
  <si>
    <t>es_terminal</t>
  </si>
  <si>
    <t>solicitud_id</t>
  </si>
  <si>
    <t>BIGINT IDENTITY(1,1)</t>
  </si>
  <si>
    <t>folio</t>
  </si>
  <si>
    <t>titulo</t>
  </si>
  <si>
    <t>VARCHAR(220)</t>
  </si>
  <si>
    <t>creado_por_usuario_id</t>
  </si>
  <si>
    <t>tipo_solicitud.tipo_solicitud_id</t>
  </si>
  <si>
    <t>prioridad_solicitud.prioridad_solicitud_id</t>
  </si>
  <si>
    <t>estado_solicitud.estado_solicitud_id</t>
  </si>
  <si>
    <t>solicitud_desarrollador_id</t>
  </si>
  <si>
    <t>BIGINT</t>
  </si>
  <si>
    <t>solicitud.solicitud_id</t>
  </si>
  <si>
    <t>comentario</t>
  </si>
  <si>
    <t>VARCHAR(1500)</t>
  </si>
  <si>
    <t>fecha_cambio</t>
  </si>
  <si>
    <t>VARCHAR(20)</t>
  </si>
  <si>
    <t>VARCHAR(2000)</t>
  </si>
  <si>
    <t>fecha_comentario</t>
  </si>
  <si>
    <t>nombre_archivo</t>
  </si>
  <si>
    <t>ruta_archivo</t>
  </si>
  <si>
    <t>VARCHAR(600)</t>
  </si>
  <si>
    <t>tamanio_bytes</t>
  </si>
  <si>
    <t>subido_por_usuario_id</t>
  </si>
  <si>
    <t>fecha_subida</t>
  </si>
  <si>
    <t>notificacion_id</t>
  </si>
  <si>
    <t>mensaje</t>
  </si>
  <si>
    <t>leida</t>
  </si>
  <si>
    <t>login_usuario</t>
  </si>
  <si>
    <t>password_hash</t>
  </si>
  <si>
    <t>VARBINARY(512)</t>
  </si>
  <si>
    <t>password_salt</t>
  </si>
  <si>
    <t>VARBINARY(128)</t>
  </si>
  <si>
    <t>algoritmo_hash</t>
  </si>
  <si>
    <t>iteraciones</t>
  </si>
  <si>
    <t>ultimo_acceso</t>
  </si>
  <si>
    <t>intentos_fallidos</t>
  </si>
  <si>
    <t>SMALLINT</t>
  </si>
  <si>
    <t>bloqueado_hasta</t>
  </si>
  <si>
    <t>requiere_cambio_password</t>
  </si>
  <si>
    <t>fecha_actualizacion</t>
  </si>
  <si>
    <t>PK/FK</t>
  </si>
  <si>
    <t>PBKDF2</t>
  </si>
  <si>
    <t>100000</t>
  </si>
  <si>
    <t>0</t>
  </si>
  <si>
    <t>menu_opcion_id</t>
  </si>
  <si>
    <t>VARCHAR(60)</t>
  </si>
  <si>
    <t>ruta</t>
  </si>
  <si>
    <t>icono</t>
  </si>
  <si>
    <t>menu_padre_id</t>
  </si>
  <si>
    <t>menu_opcion.menu_opcion_id</t>
  </si>
  <si>
    <t>rol_menu_opcion_id</t>
  </si>
  <si>
    <t>puede_ver</t>
  </si>
  <si>
    <t>puede_editar</t>
  </si>
  <si>
    <t>puede_aprobar</t>
  </si>
  <si>
    <t>tipo_modificacion_id</t>
  </si>
  <si>
    <t>INDENTITY</t>
  </si>
  <si>
    <t>solicitud_modificacion_id</t>
  </si>
  <si>
    <t>sistema_version_actual</t>
  </si>
  <si>
    <t>modulo_afectado</t>
  </si>
  <si>
    <t>VARCHAR(200)</t>
  </si>
  <si>
    <t>impacto_tecnico</t>
  </si>
  <si>
    <t>justificacion</t>
  </si>
  <si>
    <t>fecha_registro</t>
  </si>
  <si>
    <t>UK/FK</t>
  </si>
  <si>
    <t>tipo_modificacion.tipo_modificacion_id</t>
  </si>
  <si>
    <t>solicitud_requerimiento_tecnico_id</t>
  </si>
  <si>
    <t>arquitectura_propuesta</t>
  </si>
  <si>
    <t>alcance_tecnico</t>
  </si>
  <si>
    <t>dependencias</t>
  </si>
  <si>
    <t>criterios_aceptacion</t>
  </si>
  <si>
    <t>riesgos</t>
  </si>
  <si>
    <t>plan_pruebas</t>
  </si>
  <si>
    <t>observaciones</t>
  </si>
  <si>
    <t>elaborado_por_usuario_id</t>
  </si>
  <si>
    <t>fecha_elaboracion</t>
  </si>
  <si>
    <t>tarea_desarrollo_id</t>
  </si>
  <si>
    <t>estado_tarea</t>
  </si>
  <si>
    <t>fecha_inicio</t>
  </si>
  <si>
    <t>fecha_compromiso</t>
  </si>
  <si>
    <t>fecha_cierre</t>
  </si>
  <si>
    <t>fecha_fin</t>
  </si>
  <si>
    <t>tarea_desarrollo.tarea_desarrollo_id</t>
  </si>
  <si>
    <t>actividad_reciente_id</t>
  </si>
  <si>
    <t>tipo_actividad</t>
  </si>
  <si>
    <t>detalle</t>
  </si>
  <si>
    <t>fecha_actividad</t>
  </si>
  <si>
    <t>visible_para_pm</t>
  </si>
  <si>
    <t>visible_para_desarrollador</t>
  </si>
  <si>
    <t>proyecto_id</t>
  </si>
  <si>
    <t>estado_proyecto</t>
  </si>
  <si>
    <t>DATE</t>
  </si>
  <si>
    <t>fecha_fin_planeada</t>
  </si>
  <si>
    <t>fecha_fin_real</t>
  </si>
  <si>
    <t>pm_usuario_id</t>
  </si>
  <si>
    <t>proyecto_solicitud_id</t>
  </si>
  <si>
    <t>fecha_vinculacion</t>
  </si>
  <si>
    <t>proyecto.proyecto_id</t>
  </si>
  <si>
    <t>proyecto_miembro_id</t>
  </si>
  <si>
    <t>rol_en_proyecto</t>
  </si>
  <si>
    <t>carga_estimada_pct</t>
  </si>
  <si>
    <t>DECIMAL(5,2)</t>
  </si>
  <si>
    <t>documento_proyecto_id</t>
  </si>
  <si>
    <t>nombre_documento</t>
  </si>
  <si>
    <t>tipo_documento</t>
  </si>
  <si>
    <t>version_documento</t>
  </si>
  <si>
    <t>visible_para_participantes</t>
  </si>
  <si>
    <t>evento_calendario_id</t>
  </si>
  <si>
    <t>tipo_evento</t>
  </si>
  <si>
    <t>es_todo_dia</t>
  </si>
  <si>
    <t>evento_participante_id</t>
  </si>
  <si>
    <t>asistencia</t>
  </si>
  <si>
    <t>PENDIENTE</t>
  </si>
  <si>
    <t>evento_calendario.evento_calendario_id</t>
  </si>
  <si>
    <t>Clave numérica autogenerada que identifica este registro de forma única, no se captura manualmente y no puede repetirse. Este valor lo genera automáticamente el sistema y funciona como identificador principal del registro.</t>
  </si>
  <si>
    <t>Clave corta y única del rol. Es un código corto de negocio que facilita filtros, validaciones e integraciones.</t>
  </si>
  <si>
    <t>Nombre legible del rol mostrado en interfaces y reportes de permisos. Se utiliza como etiqueta visible en pantallas, reportes y búsquedas del sistema.</t>
  </si>
  <si>
    <t>Descripción funcional del perfil. Es un campo de texto explicativo que agrega contexto funcional y técnico para la toma de decisiones.</t>
  </si>
  <si>
    <t>Estado del rol en el catálogo: 1 significa habilitado para asignarse, 0 significa deshabilitado para nuevos usos. Valor 1 = activo o vigente; valor 0 = inactivo o no vigente.</t>
  </si>
  <si>
    <t xml:space="preserve">Fecha y hora en que el rol fue creado y guardado por primera vez. Permite trazabilidad temporal, auditoría y seguimiento del ciclo de vida del proceso. </t>
  </si>
  <si>
    <t>Catálogo de roles de seguridad del sistema. Almacena los perfiles de acceso disponibles en la aplicación.</t>
  </si>
  <si>
    <t>Nombre propio principal de la persona usuaria. Se utiliza como etiqueta visible en pantallas, reportes y búsquedas del sistema.</t>
  </si>
  <si>
    <t>Primer apellido del usuario para identificación completa.</t>
  </si>
  <si>
    <t>Segundo apellido del usuario cuando aplica.</t>
  </si>
  <si>
    <t>Correo institucional único.</t>
  </si>
  <si>
    <t>Cargo organizacional del usuario para contexto administrativo y de autorización.</t>
  </si>
  <si>
    <t>Estado del usuario: 1 permite acceso al sistema, 0 bloquea su uso operativo. Valor 1 = activo o vigente; valor 0 = inactivo o no vigente.</t>
  </si>
  <si>
    <t>Fecha y hora en que el usuario fue dado de alta por primera vez. Permite trazabilidad temporal, auditoría y seguimiento del ciclo de vida del proceso.</t>
  </si>
  <si>
    <t>Usuarios del sistema con datos personales atómicos. Almacena información de identidad separada en campos discretos para normalización</t>
  </si>
  <si>
    <t>Llave foránea al usuario correspondiente dentro del catálogo de usuarios. Se usa para relacionar este registro con otra tabla y mantener la integridad referencial de los datos.</t>
  </si>
  <si>
    <t>Llave foránea al rol de seguridad que define permisos y alcances. Se usa para relacionar este registro con otra tabla y mantener la integridad referencial de los datos.</t>
  </si>
  <si>
    <t>Vigencia de la asignación de rol: 1 vigente, 0 finalizada o revocada. Valor 1 = activo o vigente; valor 0 = inactivo o no vigente.</t>
  </si>
  <si>
    <t>Fecha y hora en que termina la asignación de rol; puede quedar vacía si sigue vigente. Permite trazabilidad temporal, auditoría y seguimiento del ciclo de vida del proceso.</t>
  </si>
  <si>
    <t>Relación N:M entre usuarios y roles. Asigna perfiles de acceso a usuarios con control de vigencia.</t>
  </si>
  <si>
    <t>Estructura organizacional jerárquica. Almacena direcciones, coordinaciones y departamentos con relación padre-hijo.</t>
  </si>
  <si>
    <t>Área superior (jerarquía). Este valor lo genera automáticamente el sistema y funciona como identificador principal del registro.</t>
  </si>
  <si>
    <t>Clave operativa del área. Es un código corto de negocio que facilita filtros, validaciones e integraciones.</t>
  </si>
  <si>
    <t>Nombre oficial del área. Se utiliza como etiqueta visible en pantallas, reportes y búsquedas del sistema.</t>
  </si>
  <si>
    <t>Clasificación organizacional del área para ubicar su nivel de gestión.</t>
  </si>
  <si>
    <t>Nivel jerárquico numérico.</t>
  </si>
  <si>
    <t>Estado del área: 1 operativa en la estructura organizacional, 0 inactiva. Valor 1 = activo o vigente; valor 0 = inactivo o no vigente.</t>
  </si>
  <si>
    <t>Fecha y hora en que el área se registró por primera vez en el catálogo. Permite trazabilidad temporal, auditoría y seguimiento del ciclo de vida del proceso.</t>
  </si>
  <si>
    <t>tipo_area</t>
  </si>
  <si>
    <t>nivel</t>
  </si>
  <si>
    <t>TINYINT</t>
  </si>
  <si>
    <t>Relación N:M entre usuarios y áreas. Vincula usuarios a áreas organizacionales con control de titularidad.</t>
  </si>
  <si>
    <t>es_titular</t>
  </si>
  <si>
    <t>Llave foránea que apunta al área organizacional relacionada con este registro. Se usa para relacionar este registro con otra tabla y mantener la integridad referencial de los datos.</t>
  </si>
  <si>
    <t>Titularidad del usuario en el área: 1 es responsable principal, 0 es integrante sin titularidad.</t>
  </si>
  <si>
    <t>Vigencia de la adscripción usuario-area: 1 activa, 0 concluida o inhabilitada. Valor 1 = activo o vigente; valor 0 = inactivo o no vigente.</t>
  </si>
  <si>
    <t>Fecha y hora en que inicia la vinculación del usuario con el área. Permite trazabilidad temporal, auditoría y seguimiento del ciclo de vida del proceso.</t>
  </si>
  <si>
    <t>Fecha y hora en que concluye la vinculación del usuario con el área; vacía si sigue activa. Permite trazabilidad temporal, auditoría y seguimiento del ciclo de vida del proceso.</t>
  </si>
  <si>
    <t>Clave única del sistema. Es un código corto de negocio que facilita filtros, validaciones e integraciones.</t>
  </si>
  <si>
    <t>Nombre con el que usuarios y equipos identifican el sistema en la operación diaria. Se utiliza como etiqueta visible en pantallas, reportes y búsquedas del sistema.</t>
  </si>
  <si>
    <t>Descripción de funcionalidades. Es un campo de texto explicativo que agrega contexto funcional y técnico para la toma de decisiones.</t>
  </si>
  <si>
    <t>Estado del sistema en catálogo: 1 disponible para operar, 0 fuera de servicio o retirado. Valor 1 = activo o vigente; valor 0 = inactivo o no vigente.</t>
  </si>
  <si>
    <t>Fecha y hora en que el sistema se dio de alta en el catálogo institucional. Permite trazabilidad temporal, auditoría y seguimiento del ciclo de vida del proceso.</t>
  </si>
  <si>
    <t>Catálogo de sistemas institucionales. Almacena aplicaciones y sistemas disponibles en la institución.</t>
  </si>
  <si>
    <t>Relación N:M entre áreas y sistemas. Define qué sistemas son visibles y accesibles por cada área.</t>
  </si>
  <si>
    <t>Llave foránea al sistema o aplicación sobre la que aplica el registro. Se usa para relacionar este registro con otra tabla y mantener la integridad referencial de los datos.</t>
  </si>
  <si>
    <t>Fecha y hora exacta en que se realizo la asignación en el sistema. Permite trazabilidad temporal, auditoría y seguimiento del ciclo de vida del proceso.</t>
  </si>
  <si>
    <t>Estados del ciclo de vida de solicitudes. Define los estados por los que puede transitar una solicitud.</t>
  </si>
  <si>
    <t>Columnatipo_solicitud</t>
  </si>
  <si>
    <t>Catálogo de tipos de solicitud. Define las categorías principales de solicitudes en el sistema.</t>
  </si>
  <si>
    <t>Clave única del tipo. Es un código corto de negocio que facilita filtros, validaciones e integraciones.</t>
  </si>
  <si>
    <t>Nombre del tipo de solicitud. Se utiliza como etiqueta visible en pantallas, reportes y búsquedas del sistema.</t>
  </si>
  <si>
    <t>Catálogo de prioridades. Define los niveles de urgencia para solicitudes.</t>
  </si>
  <si>
    <t>BAJA, MEDIA, ALTA, CRITICA. Es un código corto de negocio que facilita filtros, validaciones e integraciones.</t>
  </si>
  <si>
    <t>Nombre de la prioridad. Se utiliza como etiqueta visible en pantallas, reportes y búsquedas del sistema.</t>
  </si>
  <si>
    <t>Valor numérico para ordenamiento.</t>
  </si>
  <si>
    <t>Estado de la prioridad: 1 disponible para clasificar solicitudes, 0 fuera de uso. Valor 1 = activo o vigente; valor 0 = inactivo o no vigente.</t>
  </si>
  <si>
    <t>Clave única del estado. Es un código corto de negocio que facilita filtros, validaciones e integraciones.</t>
  </si>
  <si>
    <t>Nombre del estado. Se utiliza como etiqueta visible en pantallas, reportes y búsquedas del sistema.</t>
  </si>
  <si>
    <t>Marca de cierre del flujo: 1 indica estado terminal, 0 indica estado intermedio.</t>
  </si>
  <si>
    <t>Estado del catálogo de estados: 1 utilizable en flujo, 0 deshabilitado. Valor 1 = activo o vigente; valor 0 = inactivo o no vigente.</t>
  </si>
  <si>
    <t xml:space="preserve">solicitud </t>
  </si>
  <si>
    <t>Folio único de negocio.</t>
  </si>
  <si>
    <t>VARCHAR(MAX)</t>
  </si>
  <si>
    <t>area_solicitante_id</t>
  </si>
  <si>
    <t>fecha_solicitud</t>
  </si>
  <si>
    <t>fecha_resolucion</t>
  </si>
  <si>
    <t>esfuerzo_horas</t>
  </si>
  <si>
    <t>DECIMAL(10,2)</t>
  </si>
  <si>
    <t xml:space="preserve">notificacion </t>
  </si>
  <si>
    <t xml:space="preserve">usuario_credencial </t>
  </si>
  <si>
    <t xml:space="preserve">menu_opcion </t>
  </si>
  <si>
    <t xml:space="preserve">rol_menu_opcion </t>
  </si>
  <si>
    <t xml:space="preserve">tipo_modificacion </t>
  </si>
  <si>
    <t xml:space="preserve">solicitud_modificacion </t>
  </si>
  <si>
    <t xml:space="preserve">solicitud_requerimiento </t>
  </si>
  <si>
    <t xml:space="preserve">tarea_desarrollo </t>
  </si>
  <si>
    <t xml:space="preserve">tarea_desarrollo_asignacion </t>
  </si>
  <si>
    <t xml:space="preserve">actividad_reciente </t>
  </si>
  <si>
    <t xml:space="preserve">proyecto_solicitud </t>
  </si>
  <si>
    <t xml:space="preserve">proyecto_miembro </t>
  </si>
  <si>
    <t xml:space="preserve">documento_proyecto </t>
  </si>
  <si>
    <t xml:space="preserve">evento_calendario </t>
  </si>
  <si>
    <t>Entidad principal de negocio. Almacena todas las solicitudes (tickets) del sistema con trazabilidad completa.</t>
  </si>
  <si>
    <t xml:space="preserve">evento_participante </t>
  </si>
  <si>
    <t>Título breve de la solicitud. Se utiliza como etiqueta visible en pantallas, reportes y búsquedas del sistema.</t>
  </si>
  <si>
    <t>Explicación amplia del contexto, alcance y contenido del registro para evitar ambigüedades. Es un campo de texto explicativo que agrega contexto funcional y técnico para la toma de decisiones.</t>
  </si>
  <si>
    <t xml:space="preserve">Tabla </t>
  </si>
  <si>
    <t xml:space="preserve">Descripción </t>
  </si>
  <si>
    <t>Área que solicita. Este valor lo genera automáticamente el sistema y funciona como identificador principal del registro.</t>
  </si>
  <si>
    <t>Sistema impactado. Este valor lo genera automáticamente el sistema y funciona como identificador principal del registro.</t>
  </si>
  <si>
    <t>Tipo de solicitud. Este valor lo genera automáticamente el sistema y funciona como identificador principal del registro.</t>
  </si>
  <si>
    <t>Prioridad. Este valor lo genera automáticamente el sistema y funciona como identificador principal del registro.</t>
  </si>
  <si>
    <t>Estado actual. Este valor lo genera automáticamente el sistema y funciona como identificador principal del registro.</t>
  </si>
  <si>
    <t>Usuario que registro originalmente este elemento en el sistema y que funge como autor inicial. Este valor lo genera automáticamente el sistema y funciona como identificador principal del registro.</t>
  </si>
  <si>
    <t>Fecha y hora en que el registro se dio de alta por primera vez. Permite trazabilidad temporal, auditoría y seguimiento del ciclo de vida del proceso.</t>
  </si>
  <si>
    <t>Fecha SLA comprometida. Permite trazabilidad temporal, auditoría y seguimiento del ciclo de vida del proceso.</t>
  </si>
  <si>
    <t>Fecha y hora en que se concluye oficialmente la tarea o proceso. Permite trazabilidad temporal, auditoría y seguimiento del ciclo de vida del proceso.</t>
  </si>
  <si>
    <t>Horas invertidas.</t>
  </si>
  <si>
    <t>Bandera de vigencia: 1 significa que el elemento esta habilitado para uso, 0 significa que no debe utilizarse. Valor 1 = activo o vigente; valor 0 = inactivo o no vigente.</t>
  </si>
  <si>
    <t>Relación N:M entre solicitudes y desarrolladores. Asigna técnicos responsables de cada solicitud.</t>
  </si>
  <si>
    <t>tipo_participacion</t>
  </si>
  <si>
    <t>Indica si la asignación está vigente.</t>
  </si>
  <si>
    <t>Llave foránea que apunta a la solicitud relacionada; conecta este dato con el ticket principal. Se usa para relacionar este registro con otra tabla y mantener la integridad referencial de los datos.</t>
  </si>
  <si>
    <t>Llave foránea al usuario técnico que participa en el desarrollo o mantenimiento del sistema. Se usa para relacionar este registro con otra tabla y mantener la integridad referencial de los datos.</t>
  </si>
  <si>
    <t>Vigencia de la asignación tecnica: 1 activa, 0 inactiva o cerrada. Valor 1 = activo o vigente; valor 0 = inactivo o no vigente.</t>
  </si>
  <si>
    <t>Fecha y hora en que finaliza formalmente la asignación o relación; puede quedar vacía si sigue vigente. Permite trazabilidad temporal, auditoría y seguimiento del ciclo de vida del proceso.</t>
  </si>
  <si>
    <t>Versión</t>
  </si>
  <si>
    <t>Fecha</t>
  </si>
  <si>
    <t>Autor</t>
  </si>
  <si>
    <t>solicitud_historial_estado_id</t>
  </si>
  <si>
    <t>Identificador único, técnico y autogenerado de cada evento de cambio de estado. Distingue de forma inequívoca cada registro en la bitácora, aunque pertenezca a la misma solicitud.</t>
  </si>
  <si>
    <t>Referencia a la solicitud afectada. Permite agrupar todos los cambios de estado de un mismo ticket y reconstruir su historial cronológico completo de principio a fin.</t>
  </si>
  <si>
    <t>estado_anterior_id</t>
  </si>
  <si>
    <t>Estado previo desde el cual se hizo la transición. Puede ser nulo en casos de alta inicial o cuando no aplica registrar un estado de origen explícito.</t>
  </si>
  <si>
    <t>estado_nuevo_id</t>
  </si>
  <si>
    <t>Estado resultante después del cambio. Es el dato central del movimiento porque define la nueva situación operativa de la solicitud dentro del flujo de trabajo.</t>
  </si>
  <si>
    <t>VARCHAR(800)</t>
  </si>
  <si>
    <t>Observación contextual del cambio: motivo, justificación, evidencia o nota operativa. Ayuda a interpretar por qué ocurrió la transición y mejora la trazabilidad funcional y de negocio.</t>
  </si>
  <si>
    <t>cambiado_por_usuario_id</t>
  </si>
  <si>
    <t>Usuario que ejecutó el cambio de estado. Permite trazabilidad de responsabilidad, auditoría de acciones y control de quién intervino en cada etapa del proceso.</t>
  </si>
  <si>
    <t>Fecha y hora exacta en que se registró el cambio. Es clave para medir tiempos entre estados, cumplimiento de SLA, análisis de cuellos de botella y generación de reportes cronológicos.</t>
  </si>
  <si>
    <t xml:space="preserve">Jacqueline Hurtado Hernández </t>
  </si>
  <si>
    <t xml:space="preserve">Creación del documento </t>
  </si>
  <si>
    <t>1.1</t>
  </si>
  <si>
    <t>Jacqueline Hurtado Hernández y Edwin Eduardo Mercado Ruiz</t>
  </si>
  <si>
    <t>1.2</t>
  </si>
  <si>
    <t>1.3</t>
  </si>
  <si>
    <t>1.4</t>
  </si>
  <si>
    <t>1.5</t>
  </si>
  <si>
    <t>2.1</t>
  </si>
  <si>
    <t>solicitud_aprobacion_id</t>
  </si>
  <si>
    <t>Identificador técnico único del registro de aprobación.</t>
  </si>
  <si>
    <t>Solicitud evaluada en este evento de aprobación.</t>
  </si>
  <si>
    <t>aprobado_por_usuario_id</t>
  </si>
  <si>
    <t>Usuario con facultad de aprobación que emite la resolución.</t>
  </si>
  <si>
    <t>estatus_aprobacion</t>
  </si>
  <si>
    <t>Resultado de la decisión: APROBADA, RECHAZADA o REQUIERE_INFO.</t>
  </si>
  <si>
    <t>motivo</t>
  </si>
  <si>
    <t>Justificación, observaciones o comentarios de soporte de la decisión tomada.</t>
  </si>
  <si>
    <t>fecha_aprobacion</t>
  </si>
  <si>
    <t>Fecha y hora exacta en que se registró la decisión.</t>
  </si>
  <si>
    <t>Primer analisis de las tablas necesarias</t>
  </si>
  <si>
    <t>Aprobaciones y evaluaciónes. Registra las decisiones de aprobación, rechazo o solicitud de información.</t>
  </si>
  <si>
    <t>Segundo analisis de las tablas e identificación de los atributos</t>
  </si>
  <si>
    <t>La tabla solicitud_comentario almacena las notas, aclaraciones y conversaciones asociadas a cada solicitud durante su ciclo de vida.</t>
  </si>
  <si>
    <t xml:space="preserve">Finalización del analisis de tablas e identificación de todos los atributos </t>
  </si>
  <si>
    <t>solicitud_comentario_id</t>
  </si>
  <si>
    <t>Identificador técnico único del comentario.</t>
  </si>
  <si>
    <t>Solicitud a la que pertenece el comentario. Permite agrupar todo el historial conversacional del ticket.</t>
  </si>
  <si>
    <t>autor_usuario_id</t>
  </si>
  <si>
    <t>Usuario que redacta y registra el comentario.</t>
  </si>
  <si>
    <t>Texto del comentario con detalle funcional o técnico; sirve para seguimiento, aclaraciones y evidencia de comunicación.</t>
  </si>
  <si>
    <t>es_interno</t>
  </si>
  <si>
    <t>Bandera de visibilidad: 1 comentario interno (equipo autorizado), 0 comentario visible en flujo general.</t>
  </si>
  <si>
    <t>Fecha y hora exacta de registro del comentario para trazabilidad cronológica.</t>
  </si>
  <si>
    <t>Diseño del diagrama Entidad-Relación para la base de datos y desarrollo del diccionario de datos</t>
  </si>
  <si>
    <t>Finalización y entrega del diccionario de datos</t>
  </si>
  <si>
    <t>Primeras correcciones del formato de tablas y descripciones más completas</t>
  </si>
  <si>
    <t>Finalización de correcciones en descripciones completas y entrega</t>
  </si>
  <si>
    <t>La tabla solicitud_adjunto almacena los archivos de evidencia o soporte asociados a una solicitud. Cada registro representa un documento cargado al sistema, incluyendo su nombre, ubicación, tipo de archivo, tamaño y el usuario que realizó la carga.</t>
  </si>
  <si>
    <t>solicitud_adjunto_id</t>
  </si>
  <si>
    <t>Identificador técnico único del adjunto. Distingue cada archivo de manera inequívoca dentro del sistema, incluso cuando varios archivos pertenecen a la misma solicitud.</t>
  </si>
  <si>
    <t>Referencia a la solicitud a la que pertenece el archivo. Permite agrupar todos los adjuntos relacionados con un mismo ticket y reconstruir su evidencia documental.</t>
  </si>
  <si>
    <t>Nombre del archivo cargado (normalmente nombre visible para usuario). Se utiliza para identificar rápidamente el documento en listados, descargas e historial de la solicitud.</t>
  </si>
  <si>
    <t>Ruta lógica o física donde se almacena el archivo en infraestructura. Es clave para localización, recuperación, respaldo y gestión de almacenamiento.</t>
  </si>
  <si>
    <t>tipo_mime</t>
  </si>
  <si>
    <t>Tipo MIME del archivo (por ejemplo application/pdf o image/png). Permite validar formatos, controlar seguridad de carga y definir comportamiento de visualización/descarga.</t>
  </si>
  <si>
    <t>Tamaño exacto del archivo en bytes. Ayuda en controles de límite de carga, monitoreo de consumo de almacenamiento y análisis de capacidad.</t>
  </si>
  <si>
    <t>Usuario que realizó la carga del adjunto. Aporta trazabilidad de autoría y responsabilidad operativa sobre los documentos anexados.</t>
  </si>
  <si>
    <t>Fecha y hora exacta de registro del adjunto. Permite ordenar cronológicamente evidencias, auditar actividades y correlacionar documentos con cambios de estado.</t>
  </si>
  <si>
    <t>Notificaciones de usuarios. Almacena avisos y alertas enviadas a usuarios del sistema.</t>
  </si>
  <si>
    <t>Si</t>
  </si>
  <si>
    <t>Identificador técnico único de la notificación. Permite diferenciar cada aviso de forma inequívoca y soporta trazabilidad histórica de mensajería.</t>
  </si>
  <si>
    <t>Usuario destinatario de la notificación. Define quién recibe el mensaje y habilita consultas por bandeja personal de avisos.</t>
  </si>
  <si>
    <t>Solicitud relacionada con la notificación, cuando aplica. Puede ser nulo si el aviso es general y no depende de un ticket específico.</t>
  </si>
  <si>
    <t>Encabezado breve del aviso. Se usa como resumen visible para identificar rápidamente el tipo de evento o acción requerida.</t>
  </si>
  <si>
    <t>Contenido detallado de la notificación. Debe comunicar claramente qué ocurrió, por qué se notifica y, en su caso, qué acción se espera del usuario.</t>
  </si>
  <si>
    <t>Indicador de lectura: 0 pendiente de leer, 1 ya leída. Permite medir atención de mensajes y gestionar estados de bandeja.</t>
  </si>
  <si>
    <t>Fecha y hora de generación del aviso. Es clave para orden cronológico, auditoría y análisis de tiempos de respuesta.</t>
  </si>
  <si>
    <t>fecha_lectura</t>
  </si>
  <si>
    <t>Fecha y hora en que el usuario marcó o registró la lectura. Permite evaluar oportunidad de atención y tiempos entre emisión y lectura.</t>
  </si>
  <si>
    <t>La tabla usuario_credencial concentra los datos de autenticación y seguridad de acceso de cada usuario. Su objetivo es separar la identidad funcional del usuario (tabla usuario) de la información sensible de login (hash, salt, política de contraseña, bloqueo e intentos fallidos).</t>
  </si>
  <si>
    <t>Identificador único del usuario al que pertenecen estas credenciales. Es clave primaria y foránea a la vez, lo que implementa una relación 1:1 con usuario (una cuenta de credenciales por usuario).</t>
  </si>
  <si>
    <t>Nombre de acceso único para autenticación. Debe ser irrepetible en todo el sistema para evitar colisiones de identidad en el proceso de inicio de sesión.</t>
  </si>
  <si>
    <t>Resultado cifrado/hash de la contraseña. Nunca debe almacenarse la contraseña en texto plano; este campo guarda únicamente el valor derivado para validación segura.</t>
  </si>
  <si>
    <t>Valor aleatorio (salt) usado al generar el hash de contraseña. Evita ataques por tablas precalculadas y fortalece la seguridad criptográfica del almacenamiento.</t>
  </si>
  <si>
    <t>Nombre del algoritmo empleado para derivar el hash (por ejemplo PBKDF2). Permite trazabilidad técnica y migraciones futuras de algoritmo de forma controlada.</t>
  </si>
  <si>
    <t>Número de rondas de derivación aplicadas al hash. Incrementa el costo computacional de ataques de fuerza bruta y define la fortaleza del proceso criptográfico.</t>
  </si>
  <si>
    <t>Fecha y hora del último acceso exitoso del usuario. Se utiliza para auditoría, monitoreo de uso y detección de cuentas inactivas o accesos anómalos.</t>
  </si>
  <si>
    <t>Contador acumulado de intentos fallidos de autenticación. Sirve para políticas de bloqueo automático y prevención de ataques por intento repetitivo.</t>
  </si>
  <si>
    <t>Marca temporal hasta la cual el acceso permanece bloqueado. Permite aplicar bloqueos temporales por seguridad cuando se supera el umbral de intentos fallidos.</t>
  </si>
  <si>
    <t>Indicador de cambio obligatorio de contraseña: 1 requiere actualizar contraseña en el siguiente acceso, 0 no requiere cambio inmediato.</t>
  </si>
  <si>
    <t>Fecha y hora de la última actualización de credenciales. Aporta trazabilidad de modificaciones de seguridad (cambio de contraseña, desbloqueo, ajustes de política).</t>
  </si>
  <si>
    <t>Identificador técnico único de cada opción de menú. Se genera automáticamente y se usa para relacionar esta opción con permisos, jerarquías y otras operaciones de control de navegación.</t>
  </si>
  <si>
    <t>Clave funcional única de la opción de menú. Se utiliza como identificador estable para validaciones, configuración, trazabilidad y posibles integraciones sin depender del texto visible al usuario.</t>
  </si>
  <si>
    <t>Nombre descriptivo que se muestra en la interfaz. Es la etiqueta visible para el usuario final y debe ser clara para facilitar la navegación y la comprensión de la funcionalidad disponible.</t>
  </si>
  <si>
    <t>Dirección o ruta de navegación asociada a la opción. Permite al sistema redirigir al módulo o pantalla correspondiente cuando el usuario selecciona el menú.</t>
  </si>
  <si>
    <t>Referencia al recurso visual del ícono de la opción. Mejora usabilidad y reconocimiento rápido en la interfaz, pero puede quedar vacío si la opción no requiere representación gráfica.</t>
  </si>
  <si>
    <t>Posición de despliegue en el menú. Define la secuencia en que se presentan las opciones para mantener una estructura consistente y una experiencia de usuario ordenada.</t>
  </si>
  <si>
    <t>Estado de vigencia de la opción de menú. Valor 1 significa activa y disponible para mostrarse/operar; valor 0 significa inactiva, por lo que se deshabilita su uso sin necesidad de eliminar el registro.</t>
  </si>
  <si>
    <t>Referencia opcional a otra opción de la misma tabla para construir jerarquía. Si tiene valor, la opción se comporta como submenú; si es nulo, se considera opción de nivel principal.</t>
  </si>
  <si>
    <t>La tabla menu_opcion funciona como catálogo central de navegación del sistema. Define qué opciones existen en la interfaz, cómo se llaman, en qué ruta se muestran, en qué orden aparecen y si están vigentes.</t>
  </si>
  <si>
    <t>Identificador técnico único del registro de permiso. Se genera automáticamente y permite gestionar cada combinación de rol-opción de menú como una entidad independiente para control, mantenimiento y trazabilidad.</t>
  </si>
  <si>
    <t>Identificador del rol al que se asignan permisos. Vincula este registro con la definición funcional del rol (por ejemplo, administrador, analista, desarrollador), asegurando que los permisos se otorguen por perfil y no por usuario individual.</t>
  </si>
  <si>
    <t>Identificador de la opción de menú sobre la que se definen permisos. Relaciona el rol con un punto concreto de navegación o funcionalidad del sistema para aplicar control de acceso específico.</t>
  </si>
  <si>
    <t>Define si el rol puede visualizar la opción de menú. Valor 1 = sí puede ver; valor 0 = no puede ver. Es la base del control de visibilidad de pantallas y módulos.</t>
  </si>
  <si>
    <t>Define si el rol puede realizar acciones de edición sobre la opción o funcionalidad vinculada. Valor 1 = sí puede editar; valor 0 = no puede editar. Normalmente requiere que puede_ver sea 1 para operar de forma coherente en UI.</t>
  </si>
  <si>
    <t>Define si el rol puede ejecutar acciones de aprobación en procesos que lo requieran. Valor 1 = sí puede aprobar; valor 0 = no puede aprobar. Se usa en flujos con validación jerárquica o autorizaciones formales.</t>
  </si>
  <si>
    <t xml:space="preserve">rol.rol_id	</t>
  </si>
  <si>
    <t xml:space="preserve">menu_opcion.menu_opcion_id	</t>
  </si>
  <si>
    <t>La tabla rol_menu_opcion administra los permisos de acceso a opciones de menú por cada rol del sistema. Su función principal es implementar control de autorización a nivel de interfaz y operación, definiendo qué puede ver, editar o aprobar un rol sobre una opción específica del menú.</t>
  </si>
  <si>
    <t xml:space="preserve">La tabla tipo_modificacion es un catálogo maestro que clasifica la naturaleza de una solicitud de cambio en el sistema. Su propósito es normalizar los tipos de modificación (por ejemplo, adaptativa, evolutiva o correctiva), evitar capturas libres inconsistentes y facilitar filtros, reportes, reglas de negocio y trazabilidad operativa.
</t>
  </si>
  <si>
    <t>Identificador técnico único del tipo de modificación. Se genera automáticamente y funciona como referencia estable para relacionar este catálogo con tablas transaccionales, especialmente solicitudes especializadas de cambio.</t>
  </si>
  <si>
    <t>Clave única de negocio del tipo de modificación. Está pensada para códigos controlados (por ejemplo, ADAPTATIVA, EVOLUTIVA, CORRECTIVA), permitiendo validaciones consistentes, búsquedas rápidas e integración con reglas de proceso sin depender del texto descriptivo.</t>
  </si>
  <si>
    <t>Nombre legible del tipo de modificación que se muestra en formularios, listados y reportes. Su objetivo es presentar una etiqueta clara al usuario para seleccionar y entender la clasificación aplicada a la solicitud.</t>
  </si>
  <si>
    <t>Indicador de vigencia del registro del catálogo. Valor 1 = tipo activo y disponible para uso; valor 0 = tipo inactivo (no se ofrece en nuevas capturas), manteniendo historial sin eliminar datos existentes.</t>
  </si>
  <si>
    <t>La tabla solicitud_modificacion almacena el detalle especializado de las solicitudes cuyo tipo corresponde a modificación de sistemas existentes. Extiende a la tabla solicitud con datos técnicos y funcionales necesarios para analizar impacto, justificar el cambio, identificar módulos afectados y mantener trazabilidad del registro.</t>
  </si>
  <si>
    <t>Identificador técnico único del registro de modificación. Se genera automáticamente y permite administrar internamente cada detalle especializado sin depender de otras columnas de negocio.</t>
  </si>
  <si>
    <t>Referencia obligatoria a la solicitud base. Al ser única, asegura relación 1:1: una solicitud general sólo puede tener un detalle de modificación, evitando duplicidades y manteniendo integridad del modelo.</t>
  </si>
  <si>
    <t>Clasifica el subtipo de modificación (por ejemplo, adaptativa, evolutiva o correctiva). Este dato estandariza la captura y facilita filtros, reportes, priorización y definición de flujos de atención.</t>
  </si>
  <si>
    <t>Versión actual del sistema sobre la que se solicita el cambio. Es útil para diagnóstico técnico, compatibilidad, planeación de despliegues y control de riesgos por diferencias de versión.</t>
  </si>
  <si>
    <t>Nombre o referencia del módulo impactado por la modificación. Permite delimitar el alcance del cambio, identificar responsables y estimar esfuerzo por componente funcional/técnico.</t>
  </si>
  <si>
    <t>Descripción del impacto técnico esperado: arquitectura, componentes, dependencias, rendimiento, seguridad, datos o integraciones. Este campo apoya análisis de viabilidad y estimación de complejidad.</t>
  </si>
  <si>
    <t>Argumentación funcional y/o técnica que sustenta la necesidad del cambio. Documenta el valor esperado para el negocio, cumplimiento normativo, corrección operativa o mejora del servicio.</t>
  </si>
  <si>
    <t>Fecha y hora de alta del detalle de modificación. Se registra automáticamente para auditoría, trazabilidad cronológica, métricas de atención y seguimiento de tiempos de ciclo.</t>
  </si>
  <si>
    <t>La tabla solicitud_requerimiento_tecnico almacena la especificación técnica detallada de una solicitud, normalmente después de su validación o aprobación funcional. Su objetivo es documentar cómo se va a implementar el cambio desde una perspectiva de ingeniería: arquitectura, alcance, dependencias, riesgos, pruebas y observaciones.</t>
  </si>
  <si>
    <t>Identificador técnico único del requerimiento técnico. Se genera automáticamente y permite administrar, versionar lógicamente y auditar cada documento técnico asociado a una solicitud.</t>
  </si>
  <si>
    <t>Referencia obligatoria a la solicitud base. Su unicidad impone relación 1:1, garantizando que cada solicitud tenga como máximo una especificación técnica consolidada en esta tabla.</t>
  </si>
  <si>
    <t>Define el enfoque arquitectónico propuesto para resolver la solicitud: componentes, capas, patrones y decisiones de diseño. Sirve para alinear implementación, mantenibilidad y escalabilidad.</t>
  </si>
  <si>
    <t>Delimita qué se incluye y qué no en términos técnicos (módulos, servicios, interfaces, cambios de datos, integraciones). Ayuda a controlar expectativas y evitar desviaciones de ejecución.</t>
  </si>
  <si>
    <t>Registra dependencias técnicas necesarias para ejecutar el cambio: sistemas externos, librerías, servicios, ambientes, equipos o prerrequisitos de infraestructura. Es clave para planeación y gestión de bloqueos.</t>
  </si>
  <si>
    <t>Establece condiciones verificables para considerar el requerimiento como cumplido. Funciona como base objetiva para validación funcional/técnica y cierre de entregables.</t>
  </si>
  <si>
    <t>Documenta riesgos identificados (impacto en operación, seguridad, rendimiento, compatibilidad, tiempos, datos). Permite anticipar mitigaciones y priorizar controles durante la ejecución.</t>
  </si>
  <si>
    <t>Describe la estrategia de pruebas prevista: tipos de prueba, cobertura, escenarios críticos y validaciones requeridas. Vincula el diseño técnico con la calidad esperada del resultado.</t>
  </si>
  <si>
    <t>Campo abierto para notas adicionales relevantes: decisiones, restricciones no funcionales, acuerdos técnicos o consideraciones de implementación que no encajen en otros campos.</t>
  </si>
  <si>
    <t>Usuario responsable de elaborar el requerimiento técnico. Proporciona trazabilidad de autoría, responsabilidad técnica y punto de contacto para revisiones o aclaraciones.</t>
  </si>
  <si>
    <t>Fecha y hora de elaboración del requerimiento técnico. Se usa para auditoría, control de tiempos del proceso y seguimiento cronológico de la documentación técnica.</t>
  </si>
  <si>
    <t xml:space="preserve">La tabla tarea_desarrollo representa las tareas operativas concretas derivadas de una solicitud aprobada. Su función es descomponer el trabajo de implementación en unidades manageriables, permitiendo asignación a usuarios, seguimiento de estado, control de fechas y trazabilidad de avance. Es el nivel de granularidad en el que se realiza el trabajo real y se gestiona capacidad de equipo.
</t>
  </si>
  <si>
    <t>Identificador técnico único de cada tarea de desarrollo. Se genera automáticamente y sirve como referencia para asignaciones, seguimiento temporal, comentarios y auditoría del trabajo operativo.</t>
  </si>
  <si>
    <t>Referencia obligatoria a la solicitud padre. Vincula la tarea con su contexto de negocio, permitiendo trazabilidad bidireccional desde solicitud hacia tareas y auditoría del cumplimiento.</t>
  </si>
  <si>
    <t>Nombre o resumen breve de la tarea. Se muestra en listas, reportes y paneles; debe ser descriptivo, comprensible y suficientemente específico para identificar el trabajo sin necesidad de contexto adicional.</t>
  </si>
  <si>
    <t>Documentación detallada de la tarea: qué se debe hacer, pasos a seguir, consideraciones técnicas, restricciones o detalles. Sirve como guía para el ejecutor y base para validación de completud.</t>
  </si>
  <si>
    <t>Referencia a la escala de prioridad del sistema. Influye en orden de ejecución, asignación de recursos y escalamiento de bloqueos. Normaliza la captura y facilita filtros operacionales.</t>
  </si>
  <si>
    <t>Estado actual de la tarea: PENDIENTE, EN_DESARROLLO, COMPLETADA, BLOQUEADA. Controla workflow operativo, visibilidad y escalonamiento de alertas.</t>
  </si>
  <si>
    <t>Fecha y hora en que se inicia efectivamente el trabajo. Se usa para seguimiento temporal, cálculo de horas trabajadas, análisis de eficiencia y auditoría de ciclo.</t>
  </si>
  <si>
    <t>Fecha comprometida de cierre. Define expectativa de entrega, sirve para alertas de retraso y análisis de cumplimiento de promesas al negocio.</t>
  </si>
  <si>
    <t>Fecha y hora real de completación. Documenta tiempo real de ejecución, permite calcular varianza vs. compromiso y apoya métricas de rendimiento del equipo.</t>
  </si>
  <si>
    <t>Usuario que crea/origina la tarea. Proporciona trazabilidad de responsabilidad inicial y punto de contacto para aclaraciones sobre alcance e intención.</t>
  </si>
  <si>
    <t>Indicador de vigencia de la tarea. Valor 1 = tarea activa en ejecución; valor 0 = tarea cancelada, pausada o archivada. Permite baja lógica sin eliminar historial.</t>
  </si>
  <si>
    <t xml:space="preserve">La tabla actividad_reciente es un registro o bitácora de eventos recientes en el sistema, diseñado para alimentar paneles de trabajo, dashboards y notificaciones. Captura acciones significativas relacionadas con solicitudes y tareas, permitiendo a usuarios ver un resumen de lo que ha ocurrido recientemente, quién lo hizo y cuándo. Facilita visibilidad operacional, comunicación de cambios y seguimiento de actividad en tiempo (casi) real.
</t>
  </si>
  <si>
    <t>Identificador técnico único de cada evento de actividad registrado. Se genera automáticamente y funciona como referencia para auditoría, trazabilidad y posibles consultas históricas de eventos operacionales.</t>
  </si>
  <si>
    <t>Referencia opcional a la solicitud relacionada con la actividad. Permite vincular el evento con su contexto de negocio; es nulo cuando la actividad está asociada únicamente a una tarea o a un evento sin solicitud directa.</t>
  </si>
  <si>
    <t>Referencia opcional a la tarea de desarrollo relacionada. Permite vincular la actividad con el trabajo operativo; es nulo cuando el evento está asociado únicamente a una solicitud o es de carácter general sin tarea específica.</t>
  </si>
  <si>
    <t>Usuario responsable de la actividad. Identifica quién realizó la acción, facilitando trazabilidad de responsabilidad y filtros por persona en paneles.</t>
  </si>
  <si>
    <t>Clasificación del tipo de evento: creación, actualización, cambio de estado, comentario, aprobación, rechazo, asignación, cierre, etc. Normaliza la captura y facilita filtros temáticos en reportes y dashboards.</t>
  </si>
  <si>
    <t>Resumen breve y descriptivo de la actividad. Se muestra en listas y paneles de actividad reciente como identificador rápido del evento sin necesidad de expandir detalles.</t>
  </si>
  <si>
    <t>Descripción extendida de la actividad: cambios específicos, razones, observaciones o contexto adicional. Proporciona información enriquecida para quien revisa el historial de actividades.</t>
  </si>
  <si>
    <t>Fecha y hora en que ocurrió la actividad. Se registra automáticamente y es fundamental para ordenamiento cronológico, análisis temporal y reconstrucción de secuencias de eventos.</t>
  </si>
  <si>
    <t>Control de visibilidad para Project Managers: 1 = visible para PM, 0 = no visible para PM. Permite ocultar actividades técnicas o administrativas que no son relevantes para la gestión de proyectos.</t>
  </si>
  <si>
    <t>Control de visibilidad para desarrolladores: 1 = visible para desarrollador, 0 = no visible para desarrollador. Permite ocultar actividades administrativas o decisiones de negocio irrelevantes para la ejecución técnica.</t>
  </si>
  <si>
    <t>Identificador técnico único del proyecto. Se genera automáticamente y se utiliza como referencia principal para relaciones con solicitudes, miembros, documentos y eventos de calendario.</t>
  </si>
  <si>
    <t>Código único de negocio del proyecto. Permite búsquedas rápidas, integración con reportes, trazabilidad administrativa y evita duplicidad de identificadores funcionales.</t>
  </si>
  <si>
    <t>Nombre descriptivo del proyecto visible para usuarios. Debe comunicar el objetivo o alcance principal para facilitar identificación en paneles, listados y reportes.</t>
  </si>
  <si>
    <t>Campo narrativo para detallar propósito, contexto, alcance, restricciones y metas del proyecto. Mejora la comprensión funcional y técnica durante su ciclo de vida.</t>
  </si>
  <si>
    <t>Estado operativo del proyecto. Valores esperados: PLANEADO, EN_EJECUCION, PAUSADO, CERRADO. Permite controlar el flujo de gestión y generar indicadores de avance y cartera.</t>
  </si>
  <si>
    <t>Fecha planificada o real de arranque. Sirve para seguimiento cronológico, cálculo de duración y control de cumplimiento del plan de trabajo.</t>
  </si>
  <si>
    <t>Fecha objetivo de terminación comprometida. Se usa para programación, medición de desviaciones y alertas de riesgo por retraso.</t>
  </si>
  <si>
    <t>Fecha efectiva de cierre del proyecto. Permite comparar contra la fecha fin planeada y medir desempeño del cumplimiento temporal.</t>
  </si>
  <si>
    <t>Usuario responsable de la dirección del proyecto (Project Manager). Centraliza responsabilidad operativa, seguimiento de decisiones y coordinación transversal del equipo.</t>
  </si>
  <si>
    <t>Bandera de vigencia lógica del proyecto. Valor 1 = activo/vigente; valor 0 = inactivo/no vigente. Se usa para baja lógica sin eliminar historial ni relaciones.</t>
  </si>
  <si>
    <t xml:space="preserve">La tabla proyecto_solicitud es una tabla de relación (puente) que vincula proyectos con solicitudes. Su objetivo es modelar una relación N:M: un proyecto puede incluir varias solicitudes y una solicitud puede participar en distintos proyectos (según reglas de negocio). Esta tabla también conserva la fecha en que se realizó la vinculación, lo que aporta trazabilidad operativa.
</t>
  </si>
  <si>
    <t>Identificador técnico único de la relación. Se genera automáticamente y permite gestionar cada vínculo proyecto-solicitud como un registro independiente para auditoría, mantenimiento y consultas históricas.</t>
  </si>
  <si>
    <t>Identificador del proyecto al que se asocia la solicitud. Garantiza integridad referencial con la tabla de proyectos y permite agrupar solicitudes dentro de iniciativas de gestión.</t>
  </si>
  <si>
    <t>Identificador de la solicitud vinculada al proyecto. Asegura que sólo se relacionen solicitudes válidas existentes en el sistema y habilita la trazabilidad del trabajo funcional y técnico dentro del contexto del proyecto.</t>
  </si>
  <si>
    <t>Fecha y hora en que se creó la relación entre proyecto y solicitud. Se registra automáticamente para fines de auditoría, seguimiento cronológico y análisis de evolución del alcance del proyecto.</t>
  </si>
  <si>
    <t>Identificador técnico único del registro de membresía. Se genera automáticamente y permite referenciar cada asignación de usuario a proyecto de forma individual para auditoría, historial y mantenimiento.</t>
  </si>
  <si>
    <t>Identificador del proyecto al que pertenece el miembro. Garantiza integridad referencial y permite agrupar, consultar y reportar la composición del equipo por iniciativa.</t>
  </si>
  <si>
    <t>Identificador del usuario que participa en el proyecto. Vincula la membresía con una persona válida del sistema para control de responsabilidades y trazabilidad operativa.</t>
  </si>
  <si>
    <t>Rol funcional/técnico del usuario dentro del proyecto. Valores esperados: PM, DESARROLLADOR, ANALISTA, TESTER, LIDER_TECNICO. Estandariza funciones para asignación de tareas, comunicación y métricas por perfil.</t>
  </si>
  <si>
    <t>Vigencia de la relación area-sistema: valor 1 = activo o vigente; valor 0 = inactivo o no vigente.</t>
  </si>
  <si>
    <t>Porcentaje estimado de dedicación del usuario al proyecto. Sirve para planeación de capacidad, balance de carga y detección temprana de sobreasignación o subutilización.</t>
  </si>
  <si>
    <t>Indicador de vigencia de la membresía. Valor 1 = miembro activo/vigente en el proyecto; valor 0 = miembro inactivo/no vigente. Permite baja lógica sin perder historial de participación.</t>
  </si>
  <si>
    <t>Fecha y hora de inicio de participación del miembro en el proyecto. Se registra automáticamente y aporta trazabilidad temporal del alta en el equipo.</t>
  </si>
  <si>
    <t>Fecha y hora de término de participación del miembro. Se usa para cerrar periodos de colaboración y conservar historial cronológico de permanencia.</t>
  </si>
  <si>
    <t xml:space="preserve">La tabla documento_proyecto almacena los archivos y documentos asociados a un proyecto, y opcionalmente a una solicitud específica. Su función es centralizar la evidencia técnica, documental y operativa del trabajo del proyecto, manteniendo control sobre versión, tipo de documento, autor de la carga, fecha de incorporación y nivel de visibilidad para los participantes. Es útil para conservar entregables, minutas, especificaciones, diseños, manuales y cualquier otro archivo de soporte del proyecto.
</t>
  </si>
  <si>
    <t>Identificador técnico único del documento. Se genera automáticamente y permite rastrear cada archivo o registro documental de forma individual para auditoría, mantenimiento y consultas históricas.</t>
  </si>
  <si>
    <t>Identificador del proyecto al que pertenece el documento. Garantiza integridad referencial y asegura que cada archivo quede asociado a una iniciativa válida dentro del sistema.</t>
  </si>
  <si>
    <t>Identificador opcional de la solicitud relacionada con el documento. Permite vincular el archivo a un requerimiento específico cuando el documento nace como parte de una solicitud; si no aplica, el valor puede ser nulo.</t>
  </si>
  <si>
    <t>Nombre visible del archivo o documento. Es el texto que identifica el contenido para usuarios finales en listados, búsquedas y pantallas de consulta.</t>
  </si>
  <si>
    <t>Clasificación funcional del documento. Valores esperados como ERS, DISENO, MANUAL, MINUTA u OTRO, lo que permite ordenar, filtrar y aplicar reglas de gestión documental por categoría.</t>
  </si>
  <si>
    <t>Versión lógica del documento. Se usa para controlar cambios, identificar revisiones y distinguir iteraciones sucesivas de un mismo entregable.</t>
  </si>
  <si>
    <t>Ubicación física o lógica donde se encuentra almacenado el archivo. Puede ser una ruta de sistema, un enlace interno o una referencia a almacenamiento documental; es esencial para recuperar el contenido.</t>
  </si>
  <si>
    <t>Tamaño del archivo expresado en bytes. Ayuda a controlar almacenamiento, validar cargas y estimar consumo de espacio o transferencia.</t>
  </si>
  <si>
    <t>Usuario que realizó la carga del documento. Permite trazar autoría, responsabilidad y control de cambios en el repositorio documental del proyecto.</t>
  </si>
  <si>
    <t>Fecha y hora en que el documento fue registrado en el sistema. Se llena automáticamente y sirve para auditoría, ordenamiento cronológico y seguimiento del historial documental.</t>
  </si>
  <si>
    <t>Indicador de visibilidad para los participantes del proyecto. Valor 1 = visible; valor 0 = oculto. Permite controlar qué documentos pueden consultar los integrantes y cuáles quedan restringidos.</t>
  </si>
  <si>
    <t xml:space="preserve">La tabla evento_calendario almacena eventos, reuniones, entregas, revisiones, despliegues y actividades programadas dentro del contexto de un proyecto o de una solicitud. Su propósito es organizar la agenda operativa del sistema, centralizar la coordinación de fechas y dejar evidencia de quién creó cada evento, cuándo ocurre y si se trata de un evento de día completo. Es una tabla clave para seguimiento, planeación y comunicación del trabajo.
</t>
  </si>
  <si>
    <t>Identificador técnico único del evento. Se genera automáticamente y sirve para referenciar de forma inequívoca cada registro del calendario dentro del sistema.</t>
  </si>
  <si>
    <t>Identificador opcional del proyecto asociado al evento. Permite vincular reuniones, entregas o actividades con una iniciativa concreta; si el evento no pertenece a un proyecto específico, puede quedar nulo.</t>
  </si>
  <si>
    <t>Identificador opcional de la solicitud asociada al evento. Se utiliza cuando la reunión, revisión o entrega está relacionada con un requerimiento puntual; si no aplica, puede quedar nulo.</t>
  </si>
  <si>
    <t>Nombre corto y visible del evento. Debe resumir claramente la actividad para que sea fácil identificarla en calendarios, listados y notificaciones.</t>
  </si>
  <si>
    <t>Texto ampliado que explica el objetivo, contexto, acuerdos o alcance del evento. Es útil para reuniones, revisiones y entregas donde se necesita dejar constancia de información complementaria.</t>
  </si>
  <si>
    <t>Clasificación funcional del evento. Valores esperados como REUNION, ENTREGA, REVISION, DESPLIEGUE o ACTIVIDAD. Ayuda a filtrar, agrupar y reportar la agenda del proyecto.</t>
  </si>
  <si>
    <t>Fecha y hora de inicio del evento. Permite ubicar temporalmente la actividad y usarla para programación, recordatorios y ordenamiento cronológico.</t>
  </si>
  <si>
    <t>Fecha y hora de término del evento. Sirve para calcular duración, reservar ventanas de tiempo y controlar superposiciones o conflictos de agenda.</t>
  </si>
  <si>
    <t>Usuario que creó el evento. Proporciona trazabilidad de autoría y permite identificar quién registró la actividad en el calendario.</t>
  </si>
  <si>
    <t>Indicador de evento de día completo. Valor 1 = sí, es todo el día; valor 0 = no, tiene horario específico. Facilita la visualización correcta en calendarios y agendas.</t>
  </si>
  <si>
    <t>Identificador técnico único del registro de participación. Se genera automáticamente y permite distinguir cada vínculo entre un evento y un usuario de forma individual.</t>
  </si>
  <si>
    <t>Identificador del evento al que pertenece el participante. Garantiza que la asistencia quede asociada a un evento válido del calendario y permite agrupar a todos los asistentes de una misma cita.</t>
  </si>
  <si>
    <t>Identificador del usuario participante. Vincula la invitación o asistencia con una persona existente en el sistema, asegurando trazabilidad y control de convocados.</t>
  </si>
  <si>
    <t>Estado de asistencia del participante. Valores esperados: PENDIENTE, CONFIRMADA o RECHAZADA. Permite conocer si el usuario aún no responde, confirmó su asistencia o la rechazó.</t>
  </si>
  <si>
    <t xml:space="preserve">La tabla evento_participante registra a los usuarios invitados o asistentes a cada evento de calendario. Su propósito es controlar quién fue convocado a un evento, qué usuario participa efectivamente y cuál es su estado de asistencia. Es una tabla clave para la coordinación de reuniones, revisiones, entregas y demás actividades programadas, ya que permite dar seguimiento a la participación y respuesta de cada asistente.
</t>
  </si>
  <si>
    <t xml:space="preserve">Registra la bitácora de transiciones de estado de cada solicitud. Su objetivo es mantener trazabilidad completa del ciclo de vida: qué estado tenía antes, a cuál cambió, quién realizó el cambio, cuándo ocurrió y con qué comentario. Esta tabla es clave para auditoría, seguimiento operativo, cumplimiento y análisis de tiempos de atención.
</t>
  </si>
  <si>
    <t>Indicador de vigencia lógica del tipo de solicitud. Valor 1 = activo/vigente (disponible para nuevas capturas); valor 0 = inactivo/no vigente (no debe usarse en nuevas solicitudes, pero conserva historial).</t>
  </si>
  <si>
    <t xml:space="preserve">La tabla proyecto es la entidad central para gestionar iniciativas de trabajo que agrupan múltiples solicitudes, equipo responsable, planificación y seguimiento ejecutivo. Permite controlar el ciclo de vida del proyecto, desde su planeación hasta su cierre, incluyendo fechas objetivo, responsable PM y vigencia lógica del registro.
</t>
  </si>
  <si>
    <t>sistema_desarrollador</t>
  </si>
  <si>
    <t>solicitud_historial_estado</t>
  </si>
  <si>
    <t>solicitud_aprobacion</t>
  </si>
  <si>
    <t>solicitud_comentario</t>
  </si>
  <si>
    <t>solicitud_adjunto</t>
  </si>
  <si>
    <t>Registra la asignación de personal técnico a cada sistema institucional, indicando su rol de participación, vigencia y periodo de colaboración. Esta tabla resuelve la relación N:M entre sistema y usuario, permitiendo que un sistema tenga varios desarrolladores y que un desarrollador participe en varios sistemas. También soporta trazabilidad operativa para saber quién fue responsable, desde cuándo, y si la asignación sigue activa o ya concluyó.</t>
  </si>
  <si>
    <t>sistema_desarrollador_id</t>
  </si>
  <si>
    <t>Identificador técnico único de la asignación. Sirve como clave primaria para referenciar, auditar y actualizar el registro sin ambigüedad. No tiene significado de negocio, su función es integridad y trazabilidad.</t>
  </si>
  <si>
    <t>Identificador del sistema al que se asigna el desarrollador. Define el contexto funcional de trabajo y garantiza que la asignación solo apunte a sistemas válidos registrados en el catálogo institucional.</t>
  </si>
  <si>
    <t>Identificador del usuario técnico asignado al sistema. Permite vincular responsables y participantes reales, además de cruzar información con roles, áreas y actividad operativa del usuario.</t>
  </si>
  <si>
    <t>Rol funcional del usuario dentro del sistema. Valores sugeridos: RESPONSABLE y PARTICIPANTE. RESPONSABLE implica liderazgo o accountability técnica; PARTICIPANTE implica apoyo en desarrollo, mantenimiento o atención de incidencias.</t>
  </si>
  <si>
    <t>Bandera de vigencia lógica de la asignación. Valor 1 indica asignación vigente y operativa; valor 0 indica asignación cerrada o inactiva, conservando historial sin eliminar datos.</t>
  </si>
  <si>
    <t>Fecha y hora en que inicia formalmente la participación del usuario en el sistema. Se usa para trazabilidad histórica, reportes de carga técnica y validación de periodos de responsabilidad.</t>
  </si>
  <si>
    <t>Fecha y hora de término de la participación. Nulo indica participación vigente. Cuando tiene valor, marca cierre administrativo/técnico y permite análisis históricos de rotación y continuidad del equipo.</t>
  </si>
  <si>
    <t>La tabla proyecto_miembro administra la participación de usuarios dentro de cada proyecto. Define quién forma parte del equipo, qué rol operativo desempeña, qué porcentaje de carga estimada tiene asignado y durante qué periodo participa. Es clave para la planeación de capacidad, seguimiento de responsabilidades y control de vigencia de integrantes.</t>
  </si>
  <si>
    <t>Registra la asignación de usuarios a sistemas.</t>
  </si>
  <si>
    <t xml:space="preserve">diccionario de datos </t>
  </si>
  <si>
    <t>.</t>
  </si>
  <si>
    <t xml:space="preserve">Fecha y hora en que terminó la vigencia de la asignación. Si está vacía, la relación se considera vigente.	</t>
  </si>
  <si>
    <t>tarea_desarrollo_asignacion_id</t>
  </si>
  <si>
    <t>Identity</t>
  </si>
  <si>
    <t>Identificador único de cada asignación. Se genera automáticamente por el sistema y permite distinguir de forma inequívoca cada relación entre una tarea y un usuario.</t>
  </si>
  <si>
    <t>Identificador de la tarea de desarrollo a la que pertenece la asignación. Vincula el registro con la tarea operativa concreta que se está ejecutando.</t>
  </si>
  <si>
    <t>Identificador del usuario asignado a la tarea. Permite saber qué persona participa en la ejecución del trabajo técnico.</t>
  </si>
  <si>
    <t>rol_tecnico</t>
  </si>
  <si>
    <t>Rol que desempeña el usuario dentro de la tarea. Define su función operativa, por ejemplo RESPONSABLE o PARTICIPANTE.</t>
  </si>
  <si>
    <t>Indica si la asignación está vigente. Valor 1 significa que la persona sigue asignada; valor 0 significa que la asignación ya fue cerrada o desactivada.</t>
  </si>
  <si>
    <t>Fecha y hora en que se creó la asignación. Sirve para trazabilidad, auditoría y control histórico de la participación del usuario en la tarea.</t>
  </si>
  <si>
    <t>Fecha y hora en que terminó la asignación. Si está vacía, la relación sigue vigente. Permite conservar el historial de asignaciones cerradas.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</si>
</sst>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Garamond"/>
      <family val="2"/>
      <scheme val="minor"/>
    </font>
    <font>
      <b/>
      <sz val="14"/>
      <color theme="1"/>
      <name val="Garamond"/>
      <family val="1"/>
      <scheme val="major"/>
    </font>
    <font>
      <b/>
      <sz val="14"/>
      <name val="Garamond"/>
      <family val="1"/>
      <scheme val="major"/>
    </font>
    <font>
      <b/>
      <sz val="12"/>
      <color rgb="FFFFFFFF"/>
      <name val="Garamond"/>
      <family val="1"/>
      <scheme val="minor"/>
    </font>
    <font>
      <sz val="14"/>
      <color theme="1"/>
      <name val="Garamond"/>
      <family val="1"/>
      <scheme val="major"/>
    </font>
    <font>
      <sz val="11"/>
      <color theme="1"/>
      <name val="Segoe UI"/>
      <family val="2"/>
    </font>
    <font>
      <u/>
      <sz val="11"/>
      <color theme="10"/>
      <name val="Garamond"/>
      <family val="2"/>
      <scheme val="minor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5" fillId="0" borderId="1" xfId="0" applyFont="1" applyBorder="1" applyAlignment="1">
      <alignment vertical="center"/>
    </xf>
    <xf numFmtId="14" fontId="0" fillId="0" borderId="0" xfId="0" applyNumberFormat="1"/>
    <xf numFmtId="49" fontId="0" fillId="0" borderId="1" xfId="0" applyNumberFormat="1" applyBorder="1"/>
    <xf numFmtId="49" fontId="5" fillId="0" borderId="1" xfId="0" applyNumberFormat="1" applyFont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/>
    </xf>
    <xf numFmtId="49" fontId="0" fillId="0" borderId="0" xfId="0" applyNumberFormat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49" fontId="0" fillId="0" borderId="7" xfId="0" applyNumberFormat="1" applyBorder="1"/>
    <xf numFmtId="49" fontId="0" fillId="0" borderId="1" xfId="0" applyNumberFormat="1" applyBorder="1" applyAlignment="1">
      <alignment wrapText="1"/>
    </xf>
    <xf numFmtId="0" fontId="0" fillId="0" borderId="6" xfId="0" applyBorder="1"/>
    <xf numFmtId="0" fontId="3" fillId="2" borderId="5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5" fillId="0" borderId="8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9" xfId="0" applyBorder="1"/>
    <xf numFmtId="0" fontId="6" fillId="0" borderId="7" xfId="1" applyBorder="1"/>
    <xf numFmtId="0" fontId="2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0" fillId="0" borderId="0" xfId="0" applyBorder="1"/>
    <xf numFmtId="0" fontId="0" fillId="0" borderId="10" xfId="0" applyBorder="1" applyAlignment="1">
      <alignment horizontal="center"/>
    </xf>
    <xf numFmtId="0" fontId="0" fillId="0" borderId="0" xfId="0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Garamond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32A7-1FDA-4D94-AD06-8C9FD1BB5B90}">
  <dimension ref="A1:D9"/>
  <sheetViews>
    <sheetView workbookViewId="0"/>
  </sheetViews>
  <sheetFormatPr baseColWidth="10" defaultRowHeight="15" x14ac:dyDescent="0.25"/>
  <cols>
    <col min="3" max="4" width="36.5703125" bestFit="1" customWidth="1"/>
  </cols>
  <sheetData>
    <row r="1" spans="1:4" ht="15.75" x14ac:dyDescent="0.25">
      <c r="A1" s="12" t="s">
        <v>342</v>
      </c>
      <c r="B1" s="12" t="s">
        <v>343</v>
      </c>
      <c r="C1" s="12" t="s">
        <v>344</v>
      </c>
      <c r="D1" s="12" t="s">
        <v>323</v>
      </c>
    </row>
    <row r="2" spans="1:4" x14ac:dyDescent="0.25">
      <c r="A2">
        <v>1</v>
      </c>
      <c r="B2" s="16">
        <v>46126</v>
      </c>
      <c r="C2" t="s">
        <v>357</v>
      </c>
      <c r="D2" t="s">
        <v>358</v>
      </c>
    </row>
    <row r="3" spans="1:4" ht="30" x14ac:dyDescent="0.25">
      <c r="A3" t="s">
        <v>359</v>
      </c>
      <c r="B3" s="16">
        <v>45762</v>
      </c>
      <c r="C3" s="5" t="s">
        <v>360</v>
      </c>
      <c r="D3" t="s">
        <v>377</v>
      </c>
    </row>
    <row r="4" spans="1:4" ht="30" x14ac:dyDescent="0.25">
      <c r="A4" t="s">
        <v>361</v>
      </c>
      <c r="B4" s="16">
        <v>46128</v>
      </c>
      <c r="C4" s="5" t="s">
        <v>360</v>
      </c>
      <c r="D4" s="5" t="s">
        <v>379</v>
      </c>
    </row>
    <row r="5" spans="1:4" ht="30" x14ac:dyDescent="0.25">
      <c r="A5" t="s">
        <v>362</v>
      </c>
      <c r="B5" s="16">
        <v>46129</v>
      </c>
      <c r="C5" s="5" t="s">
        <v>360</v>
      </c>
      <c r="D5" s="5" t="s">
        <v>381</v>
      </c>
    </row>
    <row r="6" spans="1:4" ht="45" x14ac:dyDescent="0.25">
      <c r="A6" t="s">
        <v>363</v>
      </c>
      <c r="B6" s="16">
        <v>46132</v>
      </c>
      <c r="C6" s="5" t="s">
        <v>360</v>
      </c>
      <c r="D6" s="5" t="s">
        <v>391</v>
      </c>
    </row>
    <row r="7" spans="1:4" ht="30" x14ac:dyDescent="0.25">
      <c r="A7" t="s">
        <v>364</v>
      </c>
      <c r="B7" s="16">
        <v>46133</v>
      </c>
      <c r="C7" s="5" t="s">
        <v>360</v>
      </c>
      <c r="D7" s="5" t="s">
        <v>392</v>
      </c>
    </row>
    <row r="8" spans="1:4" ht="30" x14ac:dyDescent="0.25">
      <c r="A8">
        <v>2</v>
      </c>
      <c r="B8" s="16">
        <v>46134</v>
      </c>
      <c r="C8" s="5" t="s">
        <v>360</v>
      </c>
      <c r="D8" s="5" t="s">
        <v>393</v>
      </c>
    </row>
    <row r="9" spans="1:4" ht="30" x14ac:dyDescent="0.25">
      <c r="A9" t="s">
        <v>365</v>
      </c>
      <c r="B9" s="16">
        <v>46135</v>
      </c>
      <c r="C9" s="5" t="s">
        <v>360</v>
      </c>
      <c r="D9" s="5" t="s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B1" zoomScaleNormal="100" workbookViewId="0">
      <selection activeCell="E1" sqref="E1:K36"/>
    </sheetView>
  </sheetViews>
  <sheetFormatPr baseColWidth="10" defaultColWidth="9" defaultRowHeight="15" x14ac:dyDescent="0.25"/>
  <cols>
    <col min="1" max="1" width="34.85546875" customWidth="1"/>
    <col min="2" max="2" width="64.85546875" customWidth="1"/>
    <col min="3" max="3" width="11.85546875" customWidth="1"/>
    <col min="4" max="4" width="34.85546875" customWidth="1"/>
    <col min="5" max="5" width="17.5703125" bestFit="1" customWidth="1"/>
    <col min="6" max="6" width="21" bestFit="1" customWidth="1"/>
    <col min="7" max="7" width="8.5703125" bestFit="1" customWidth="1"/>
    <col min="8" max="8" width="27.42578125" bestFit="1" customWidth="1"/>
    <col min="9" max="9" width="9" customWidth="1"/>
    <col min="10" max="10" width="8.85546875" customWidth="1"/>
    <col min="11" max="11" width="9" customWidth="1"/>
  </cols>
  <sheetData>
    <row r="1" spans="1:10" x14ac:dyDescent="0.25">
      <c r="A1" s="42" t="s">
        <v>567</v>
      </c>
      <c r="B1" s="42"/>
      <c r="C1" s="42"/>
      <c r="G1" s="43"/>
      <c r="H1" s="43"/>
      <c r="I1" s="43"/>
      <c r="J1" s="43"/>
    </row>
    <row r="2" spans="1:10" ht="15.75" x14ac:dyDescent="0.25">
      <c r="A2" s="12" t="s">
        <v>322</v>
      </c>
      <c r="B2" s="12" t="s">
        <v>323</v>
      </c>
      <c r="C2" s="12" t="s">
        <v>1</v>
      </c>
      <c r="D2" s="12" t="s">
        <v>2</v>
      </c>
    </row>
    <row r="3" spans="1:10" x14ac:dyDescent="0.25">
      <c r="A3" s="13" t="s">
        <v>49</v>
      </c>
      <c r="B3" s="13" t="s">
        <v>50</v>
      </c>
      <c r="C3" s="13">
        <f ca="1">IFERROR(COUNTA(INDIRECT("'"&amp;D3&amp;"'!B4:B55")),0)</f>
        <v>10</v>
      </c>
      <c r="D3" s="32" t="s">
        <v>49</v>
      </c>
    </row>
    <row r="4" spans="1:10" x14ac:dyDescent="0.25">
      <c r="A4" s="13" t="s">
        <v>9</v>
      </c>
      <c r="B4" s="13" t="s">
        <v>10</v>
      </c>
      <c r="C4" s="13">
        <f ca="1">IFERROR(COUNTA(INDIRECT("'"&amp;D4&amp;"'!B4:B55")),0)</f>
        <v>8</v>
      </c>
      <c r="D4" s="32" t="s">
        <v>9</v>
      </c>
    </row>
    <row r="5" spans="1:10" x14ac:dyDescent="0.25">
      <c r="A5" s="13" t="s">
        <v>15</v>
      </c>
      <c r="B5" s="13" t="s">
        <v>16</v>
      </c>
      <c r="C5" s="13">
        <f ca="1">IFERROR(COUNTA(INDIRECT("'"&amp;D5&amp;"'!B4:B55")),0)</f>
        <v>5</v>
      </c>
      <c r="D5" s="32" t="s">
        <v>15</v>
      </c>
    </row>
    <row r="6" spans="1:10" x14ac:dyDescent="0.25">
      <c r="A6" s="13" t="s">
        <v>57</v>
      </c>
      <c r="B6" s="13" t="s">
        <v>58</v>
      </c>
      <c r="C6" s="13">
        <f ca="1">IFERROR(COUNTA(INDIRECT("'"&amp;D6&amp;"'!B4:B55")),0)</f>
        <v>11</v>
      </c>
      <c r="D6" s="32" t="s">
        <v>57</v>
      </c>
    </row>
    <row r="7" spans="1:10" x14ac:dyDescent="0.25">
      <c r="A7" s="13" t="s">
        <v>21</v>
      </c>
      <c r="B7" s="13" t="s">
        <v>22</v>
      </c>
      <c r="C7" s="13">
        <f ca="1">IFERROR(COUNTA(INDIRECT("'"&amp;D7&amp;"'!B4:B55")),0)</f>
        <v>5</v>
      </c>
      <c r="D7" s="32" t="s">
        <v>21</v>
      </c>
    </row>
    <row r="8" spans="1:10" x14ac:dyDescent="0.25">
      <c r="A8" s="13" t="s">
        <v>59</v>
      </c>
      <c r="B8" s="13" t="s">
        <v>60</v>
      </c>
      <c r="C8" s="13">
        <f ca="1">IFERROR(COUNTA(INDIRECT("'"&amp;D8&amp;"'!B4:B55")),0)</f>
        <v>10</v>
      </c>
      <c r="D8" s="32" t="s">
        <v>59</v>
      </c>
    </row>
    <row r="9" spans="1:10" x14ac:dyDescent="0.25">
      <c r="A9" s="13" t="s">
        <v>61</v>
      </c>
      <c r="B9" s="13" t="s">
        <v>62</v>
      </c>
      <c r="C9" s="13">
        <f ca="1">IFERROR(COUNTA(INDIRECT("'"&amp;D9&amp;"'!B4:B55")),0)</f>
        <v>4</v>
      </c>
      <c r="D9" s="32" t="s">
        <v>61</v>
      </c>
    </row>
    <row r="10" spans="1:10" x14ac:dyDescent="0.25">
      <c r="A10" s="13" t="s">
        <v>35</v>
      </c>
      <c r="B10" s="13" t="s">
        <v>36</v>
      </c>
      <c r="C10" s="13">
        <f ca="1">IFERROR(COUNTA(INDIRECT("'"&amp;D10&amp;"'!B4:B55")),0)</f>
        <v>8</v>
      </c>
      <c r="D10" s="32" t="s">
        <v>35</v>
      </c>
    </row>
    <row r="11" spans="1:10" x14ac:dyDescent="0.25">
      <c r="A11" s="13" t="s">
        <v>31</v>
      </c>
      <c r="B11" s="13" t="s">
        <v>32</v>
      </c>
      <c r="C11" s="13">
        <f ca="1">IFERROR(COUNTA(INDIRECT("'"&amp;D11&amp;"'!B4:B55")),0)</f>
        <v>8</v>
      </c>
      <c r="D11" s="32" t="s">
        <v>31</v>
      </c>
    </row>
    <row r="12" spans="1:10" x14ac:dyDescent="0.25">
      <c r="A12" s="13" t="s">
        <v>19</v>
      </c>
      <c r="B12" s="13" t="s">
        <v>20</v>
      </c>
      <c r="C12" s="13">
        <f ca="1">IFERROR(COUNTA(INDIRECT("'"&amp;D12&amp;"'!B4:B55")),0)</f>
        <v>5</v>
      </c>
      <c r="D12" s="32" t="s">
        <v>19</v>
      </c>
    </row>
    <row r="13" spans="1:10" x14ac:dyDescent="0.25">
      <c r="A13" s="13" t="s">
        <v>51</v>
      </c>
      <c r="B13" s="13" t="s">
        <v>52</v>
      </c>
      <c r="C13" s="13">
        <f ca="1">IFERROR(COUNTA(INDIRECT("'"&amp;D13&amp;"'!B4:B55")),0)</f>
        <v>10</v>
      </c>
      <c r="D13" s="32" t="s">
        <v>51</v>
      </c>
    </row>
    <row r="14" spans="1:10" x14ac:dyDescent="0.25">
      <c r="A14" s="13" t="s">
        <v>55</v>
      </c>
      <c r="B14" s="13" t="s">
        <v>56</v>
      </c>
      <c r="C14" s="13">
        <f ca="1">IFERROR(COUNTA(INDIRECT("'"&amp;D14&amp;"'!B4:B55")),0)</f>
        <v>8</v>
      </c>
      <c r="D14" s="32" t="s">
        <v>55</v>
      </c>
    </row>
    <row r="15" spans="1:10" x14ac:dyDescent="0.25">
      <c r="A15" s="13" t="s">
        <v>53</v>
      </c>
      <c r="B15" s="13" t="s">
        <v>54</v>
      </c>
      <c r="C15" s="13">
        <f ca="1">IFERROR(COUNTA(INDIRECT("'"&amp;D15&amp;"'!B4:B55")),0)</f>
        <v>4</v>
      </c>
      <c r="D15" s="32" t="s">
        <v>53</v>
      </c>
    </row>
    <row r="16" spans="1:10" x14ac:dyDescent="0.25">
      <c r="A16" s="13" t="s">
        <v>3</v>
      </c>
      <c r="B16" s="13" t="s">
        <v>4</v>
      </c>
      <c r="C16" s="13">
        <f ca="1">IFERROR(COUNTA(INDIRECT("'"&amp;D16&amp;"'!B4:B55")),0)</f>
        <v>6</v>
      </c>
      <c r="D16" s="32" t="s">
        <v>3</v>
      </c>
    </row>
    <row r="17" spans="1:4" x14ac:dyDescent="0.25">
      <c r="A17" s="13" t="s">
        <v>37</v>
      </c>
      <c r="B17" s="13" t="s">
        <v>38</v>
      </c>
      <c r="C17" s="13">
        <f ca="1">IFERROR(COUNTA(INDIRECT("'"&amp;D17&amp;"'!B4:B55")),0)</f>
        <v>6</v>
      </c>
      <c r="D17" s="32" t="s">
        <v>37</v>
      </c>
    </row>
    <row r="18" spans="1:4" x14ac:dyDescent="0.25">
      <c r="A18" s="13" t="s">
        <v>13</v>
      </c>
      <c r="B18" s="13" t="s">
        <v>14</v>
      </c>
      <c r="C18" s="13">
        <f ca="1">IFERROR(COUNTA(INDIRECT("'"&amp;D18&amp;"'!B4:B55")),0)</f>
        <v>6</v>
      </c>
      <c r="D18" s="32" t="s">
        <v>13</v>
      </c>
    </row>
    <row r="19" spans="1:4" x14ac:dyDescent="0.25">
      <c r="A19" s="13" t="s">
        <v>551</v>
      </c>
      <c r="B19" s="40" t="s">
        <v>566</v>
      </c>
      <c r="C19" s="13">
        <f ca="1">IFERROR(COUNTA(INDIRECT("'"&amp;D19&amp;"'!B4:B55")),0)</f>
        <v>7</v>
      </c>
      <c r="D19" s="32" t="s">
        <v>551</v>
      </c>
    </row>
    <row r="20" spans="1:4" x14ac:dyDescent="0.25">
      <c r="A20" s="13" t="s">
        <v>23</v>
      </c>
      <c r="B20" s="13" t="s">
        <v>24</v>
      </c>
      <c r="C20" s="13">
        <f ca="1">IFERROR(COUNTA(INDIRECT("'"&amp;D20&amp;"'!B4:B55")),0)</f>
        <v>15</v>
      </c>
      <c r="D20" s="32" t="s">
        <v>23</v>
      </c>
    </row>
    <row r="21" spans="1:4" x14ac:dyDescent="0.25">
      <c r="A21" s="13" t="s">
        <v>555</v>
      </c>
      <c r="B21" s="13" t="s">
        <v>30</v>
      </c>
      <c r="C21" s="13">
        <f ca="1">IFERROR(COUNTA(INDIRECT("'"&amp;D21&amp;"'!B4:B55")),0)</f>
        <v>8</v>
      </c>
      <c r="D21" s="32" t="s">
        <v>555</v>
      </c>
    </row>
    <row r="22" spans="1:4" x14ac:dyDescent="0.25">
      <c r="A22" s="13" t="s">
        <v>553</v>
      </c>
      <c r="B22" s="13" t="s">
        <v>28</v>
      </c>
      <c r="C22" s="13">
        <f ca="1">IFERROR(COUNTA(INDIRECT("'"&amp;D22&amp;"'!B4:B55")),0)</f>
        <v>6</v>
      </c>
      <c r="D22" s="32" t="s">
        <v>553</v>
      </c>
    </row>
    <row r="23" spans="1:4" x14ac:dyDescent="0.25">
      <c r="A23" s="13" t="s">
        <v>554</v>
      </c>
      <c r="B23" s="13" t="s">
        <v>29</v>
      </c>
      <c r="C23" s="13">
        <f ca="1">IFERROR(COUNTA(INDIRECT("'"&amp;D23&amp;"'!B4:B55")),0)</f>
        <v>6</v>
      </c>
      <c r="D23" s="32" t="s">
        <v>554</v>
      </c>
    </row>
    <row r="24" spans="1:4" x14ac:dyDescent="0.25">
      <c r="A24" s="13" t="s">
        <v>25</v>
      </c>
      <c r="B24" s="13" t="s">
        <v>26</v>
      </c>
      <c r="C24" s="13">
        <f ca="1">IFERROR(COUNTA(INDIRECT("'"&amp;D24&amp;"'!B4:B55")),0)</f>
        <v>7</v>
      </c>
      <c r="D24" s="32" t="s">
        <v>25</v>
      </c>
    </row>
    <row r="25" spans="1:4" x14ac:dyDescent="0.25">
      <c r="A25" s="13" t="s">
        <v>552</v>
      </c>
      <c r="B25" s="13" t="s">
        <v>27</v>
      </c>
      <c r="C25" s="13">
        <f ca="1">IFERROR(COUNTA(INDIRECT("'"&amp;D25&amp;"'!B4:B55")),0)</f>
        <v>7</v>
      </c>
      <c r="D25" s="32" t="s">
        <v>552</v>
      </c>
    </row>
    <row r="26" spans="1:4" x14ac:dyDescent="0.25">
      <c r="A26" s="13" t="s">
        <v>41</v>
      </c>
      <c r="B26" s="13" t="s">
        <v>42</v>
      </c>
      <c r="C26" s="13">
        <f ca="1">IFERROR(COUNTA(INDIRECT("'"&amp;D26&amp;"'!B4:B55")),0)</f>
        <v>8</v>
      </c>
      <c r="D26" s="32" t="s">
        <v>41</v>
      </c>
    </row>
    <row r="27" spans="1:4" x14ac:dyDescent="0.25">
      <c r="A27" s="13" t="s">
        <v>43</v>
      </c>
      <c r="B27" s="13" t="s">
        <v>44</v>
      </c>
      <c r="C27" s="13">
        <f ca="1">IFERROR(COUNTA(INDIRECT("'"&amp;D27&amp;"'!B4:B55")),0)</f>
        <v>11</v>
      </c>
      <c r="D27" s="32" t="s">
        <v>43</v>
      </c>
    </row>
    <row r="28" spans="1:4" x14ac:dyDescent="0.25">
      <c r="A28" s="13" t="s">
        <v>45</v>
      </c>
      <c r="B28" s="13" t="s">
        <v>46</v>
      </c>
      <c r="C28" s="13">
        <f ca="1">IFERROR(COUNTA(INDIRECT("'"&amp;D28&amp;"'!B4:B55")),0)</f>
        <v>11</v>
      </c>
      <c r="D28" s="32" t="s">
        <v>45</v>
      </c>
    </row>
    <row r="29" spans="1:4" x14ac:dyDescent="0.25">
      <c r="A29" s="13" t="s">
        <v>47</v>
      </c>
      <c r="B29" s="13" t="s">
        <v>48</v>
      </c>
      <c r="C29" s="13">
        <f ca="1">IFERROR(COUNTA(INDIRECT("'"&amp;D29&amp;"'!B4:B55")),0)</f>
        <v>7</v>
      </c>
      <c r="D29" s="32" t="s">
        <v>47</v>
      </c>
    </row>
    <row r="30" spans="1:4" x14ac:dyDescent="0.25">
      <c r="A30" s="13" t="s">
        <v>39</v>
      </c>
      <c r="B30" s="13" t="s">
        <v>40</v>
      </c>
      <c r="C30" s="13">
        <f ca="1">IFERROR(COUNTA(INDIRECT("'"&amp;D30&amp;"'!B4:B55")),0)</f>
        <v>4</v>
      </c>
      <c r="D30" s="32" t="s">
        <v>39</v>
      </c>
    </row>
    <row r="31" spans="1:4" x14ac:dyDescent="0.25">
      <c r="A31" s="13" t="s">
        <v>17</v>
      </c>
      <c r="B31" s="13" t="s">
        <v>18</v>
      </c>
      <c r="C31" s="13">
        <f ca="1">IFERROR(COUNTA(INDIRECT("'"&amp;D31&amp;"'!B4:B55")),0)</f>
        <v>4</v>
      </c>
      <c r="D31" s="32" t="s">
        <v>17</v>
      </c>
    </row>
    <row r="32" spans="1:4" x14ac:dyDescent="0.25">
      <c r="A32" s="13" t="s">
        <v>5</v>
      </c>
      <c r="B32" s="41" t="s">
        <v>6</v>
      </c>
      <c r="C32" s="13">
        <f ca="1">IFERROR(COUNTA(INDIRECT("'"&amp;D32&amp;"'!B4:B55")),0)</f>
        <v>8</v>
      </c>
      <c r="D32" s="32" t="s">
        <v>5</v>
      </c>
    </row>
    <row r="33" spans="1:6" x14ac:dyDescent="0.25">
      <c r="A33" s="13" t="s">
        <v>11</v>
      </c>
      <c r="B33" s="13" t="s">
        <v>12</v>
      </c>
      <c r="C33" s="13">
        <f ca="1">IFERROR(COUNTA(INDIRECT("'"&amp;D33&amp;"'!B4:B55")),0)</f>
        <v>7</v>
      </c>
      <c r="D33" s="32" t="s">
        <v>11</v>
      </c>
    </row>
    <row r="34" spans="1:6" x14ac:dyDescent="0.25">
      <c r="A34" s="13" t="s">
        <v>33</v>
      </c>
      <c r="B34" s="13" t="s">
        <v>34</v>
      </c>
      <c r="C34" s="13">
        <f ca="1">IFERROR(COUNTA(INDIRECT("'"&amp;D34&amp;"'!B4:B55")),0)</f>
        <v>11</v>
      </c>
      <c r="D34" s="32" t="s">
        <v>33</v>
      </c>
    </row>
    <row r="35" spans="1:6" x14ac:dyDescent="0.25">
      <c r="A35" s="13" t="s">
        <v>7</v>
      </c>
      <c r="B35" s="13" t="s">
        <v>8</v>
      </c>
      <c r="C35" s="13">
        <f ca="1">IFERROR(COUNTA(INDIRECT("'"&amp;D35&amp;"'!B4:B55")),0)</f>
        <v>6</v>
      </c>
      <c r="D35" s="32" t="s">
        <v>7</v>
      </c>
    </row>
    <row r="43" spans="1:6" x14ac:dyDescent="0.25">
      <c r="F43" t="s">
        <v>568</v>
      </c>
    </row>
  </sheetData>
  <autoFilter ref="A2:D35" xr:uid="{00000000-0001-0000-0000-000000000000}">
    <sortState xmlns:xlrd2="http://schemas.microsoft.com/office/spreadsheetml/2017/richdata2" ref="A3:D35">
      <sortCondition ref="A2:A35"/>
    </sortState>
  </autoFilter>
  <mergeCells count="2">
    <mergeCell ref="G1:J1"/>
    <mergeCell ref="A1:C1"/>
  </mergeCells>
  <hyperlinks>
    <hyperlink ref="D16" location="rol!A1" display="rol" xr:uid="{2B4614B3-B5C2-49A8-B649-B3B7A56F5F1E}"/>
    <hyperlink ref="D32" location="usuario!A1" display="usuario" xr:uid="{EF6474E4-B295-4286-91B1-AD4657BD0CAD}"/>
    <hyperlink ref="D35" location="usuario_rol!A1" display="usuario_rol" xr:uid="{5CADD67B-ADEE-4809-9265-387EC8F2DA1E}"/>
    <hyperlink ref="D4" location="area!A1" display="area" xr:uid="{13DEA009-702D-4051-B272-D43DBD7A71D4}"/>
    <hyperlink ref="D33" location="usuario_area!A1" display="usuario_area" xr:uid="{0F1E2726-E2B5-416A-B405-257D796E22CC}"/>
    <hyperlink ref="D18" location="sistema!A1" display="sistema" xr:uid="{ADAA6A1D-4B15-4E60-9776-FCF2FC3DFD1C}"/>
    <hyperlink ref="D5" location="area_sistema!A1" display="area_sistema" xr:uid="{795CB534-5703-4B70-B2D0-8B0E6AE13037}"/>
    <hyperlink ref="D31" location="tipo_solicitud!A1" display="tipo_solicitud" xr:uid="{B2DB8C43-5E3D-488B-B173-D3EB88D51C09}"/>
    <hyperlink ref="D12" location="prioridad_solicitud!A1" display="prioridad_solicitud" xr:uid="{3FA2CEDC-2839-41D0-A495-D9919BC6EBF7}"/>
    <hyperlink ref="D7" location="estado_solicitud!A1" display="estado_solicitud" xr:uid="{1F073571-531A-4F1B-A954-5DDF15E6A1C9}"/>
    <hyperlink ref="D20" location="solicitud!A1" display="solicitud" xr:uid="{632C16CC-3B6E-48E3-8D34-6C8DDE3803B4}"/>
    <hyperlink ref="D24" location="'solicitud_desarrollador'!A1" display="solicitud_desarrollador" xr:uid="{74970300-8BD4-42BA-BF7C-880FC2F65753}"/>
    <hyperlink ref="D25" location="solicitud_historial_estado!A1" display="solicitud_historial_estado" xr:uid="{242F7E10-6D13-44A7-8FA4-026C89728791}"/>
    <hyperlink ref="D22" location="solicitud_aprobacion!A1" display="solicitud_aprobacion" xr:uid="{B093588F-7E4E-43D4-93F8-21380A0EF26D}"/>
    <hyperlink ref="D23" location="solicitud_comentario!A1" display="solicitud_comentario" xr:uid="{D2F3E127-2BAF-49DD-9250-B1B182FB42BF}"/>
    <hyperlink ref="D21" location="solicitud_adjunto!A1" display="solicitud_adjunto" xr:uid="{C256EC25-1819-4E94-A290-CE63736A8BBB}"/>
    <hyperlink ref="D11" location="notificacion!A1" display="notificacion" xr:uid="{0A5FDBCB-4F45-4BFA-809C-5C86F9F68072}"/>
    <hyperlink ref="D34" location="usuario_credencial!A1" display="usuario_credencial" xr:uid="{6DCD632A-A57E-498E-8C09-B502DF634D2D}"/>
    <hyperlink ref="D10" location="menu_opcion!A1" display="menu_opcion" xr:uid="{4487E834-90EB-4CB1-BA2B-EF51886DFA66}"/>
    <hyperlink ref="D17" location="rol_menu_opcion!A1" display="rol_menu_opcion" xr:uid="{DB31B0C5-ABD0-427E-ADAD-A59CF79CA713}"/>
    <hyperlink ref="D30" location="tipo_modificacion!A1" display="tipo_modificacion" xr:uid="{2318DC5E-151D-4539-9F62-B7877DC48FA4}"/>
    <hyperlink ref="D26" location="solicitud_modificacion!A1" display="solicitud_modificacion" xr:uid="{C47F83B0-D9FF-4067-8A85-DC81084EE9F4}"/>
    <hyperlink ref="D27" location="solicitud_requerimiento_tecnico!A1" display="solicitud_requerimiento_tecnico" xr:uid="{026C352A-D6A5-4212-BCFB-557505736F5C}"/>
    <hyperlink ref="D28" location="tarea_desarrollo!A1" display="tarea_desarrollo" xr:uid="{E9BD436A-F838-4EEA-9476-0D70FAB6C8A7}"/>
    <hyperlink ref="D29" location="tarea_desarrollo_asignacion!A1" display="tarea_desarrollo_asignacion" xr:uid="{02665E46-86D7-45DC-B388-4A7F2A38E402}"/>
    <hyperlink ref="D3" location="actividad_reciente!A1" display="actividad_reciente" xr:uid="{A28BE65C-2567-4017-9291-86D89FCD485D}"/>
    <hyperlink ref="D13" location="proyecto!A1" display="proyecto" xr:uid="{0215288B-2E91-4CFB-B049-6FE438EEDBCF}"/>
    <hyperlink ref="D15" location="proyecto_solicitud!A1" display="proyecto_solicitud" xr:uid="{7006D0C4-1325-443E-921A-51685992685F}"/>
    <hyperlink ref="D14" location="proyecto_miembro!A1" display="proyecto_miembro" xr:uid="{A80B0950-37B5-4D7E-9B42-696F6382A1F2}"/>
    <hyperlink ref="D6" location="documento_proyecto!A1" display="documento_proyecto" xr:uid="{0808F433-6682-4B84-95C8-51AC0C062DD1}"/>
    <hyperlink ref="D9" location="evento_participante!A1" display="evento_participante" xr:uid="{70A16F5F-9B82-4A64-9262-91F18251F6DC}"/>
    <hyperlink ref="D8" location="evento_calendario!A1" display="evento_calendario" xr:uid="{DFC53FFB-E375-46CF-9532-85DA4ADF49D7}"/>
    <hyperlink ref="D19" location="sistema_desarrollador!A1" display="sistema_desarrollador" xr:uid="{DAB7F0B9-F482-4DA8-868D-D78D6B0583BF}"/>
  </hyperlink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49CC-96A9-453B-A220-CF5C95E181D3}">
  <dimension ref="A1:G9"/>
  <sheetViews>
    <sheetView zoomScaleNormal="100" workbookViewId="0">
      <selection activeCell="B2" sqref="B2:G2"/>
    </sheetView>
  </sheetViews>
  <sheetFormatPr baseColWidth="10" defaultRowHeight="15" x14ac:dyDescent="0.25"/>
  <cols>
    <col min="1" max="1" width="24.85546875" bestFit="1" customWidth="1"/>
    <col min="2" max="2" width="13.140625" bestFit="1" customWidth="1"/>
    <col min="3" max="3" width="20" bestFit="1" customWidth="1"/>
    <col min="4" max="4" width="5.42578125" bestFit="1" customWidth="1"/>
    <col min="5" max="5" width="16.85546875" bestFit="1" customWidth="1"/>
    <col min="6" max="6" width="57.42578125" customWidth="1"/>
    <col min="7" max="7" width="17.7109375" bestFit="1" customWidth="1"/>
  </cols>
  <sheetData>
    <row r="1" spans="1:7" ht="18.75" x14ac:dyDescent="0.3">
      <c r="A1" s="1" t="s">
        <v>106</v>
      </c>
      <c r="B1" s="33" t="s">
        <v>3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4" t="s">
        <v>241</v>
      </c>
      <c r="C2" s="35"/>
      <c r="D2" s="35"/>
      <c r="E2" s="35"/>
      <c r="F2" s="35"/>
      <c r="G2" s="36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60" x14ac:dyDescent="0.25">
      <c r="A4" s="4" t="s">
        <v>72</v>
      </c>
      <c r="B4" s="4" t="s">
        <v>69</v>
      </c>
      <c r="C4" s="4" t="s">
        <v>70</v>
      </c>
      <c r="D4" s="4" t="s">
        <v>107</v>
      </c>
      <c r="E4" s="4" t="s">
        <v>71</v>
      </c>
      <c r="F4" s="6" t="s">
        <v>235</v>
      </c>
      <c r="G4" s="4"/>
    </row>
    <row r="5" spans="1:7" ht="30" x14ac:dyDescent="0.25">
      <c r="A5" s="4" t="s">
        <v>74</v>
      </c>
      <c r="B5" s="4" t="s">
        <v>73</v>
      </c>
      <c r="C5" s="4" t="s">
        <v>104</v>
      </c>
      <c r="D5" s="4" t="s">
        <v>107</v>
      </c>
      <c r="E5" s="4"/>
      <c r="F5" s="6" t="s">
        <v>236</v>
      </c>
      <c r="G5" s="4" t="s">
        <v>133</v>
      </c>
    </row>
    <row r="6" spans="1:7" ht="45" x14ac:dyDescent="0.25">
      <c r="A6" s="4"/>
      <c r="B6" s="4" t="s">
        <v>75</v>
      </c>
      <c r="C6" s="4" t="s">
        <v>76</v>
      </c>
      <c r="D6" s="4" t="s">
        <v>107</v>
      </c>
      <c r="E6" s="4"/>
      <c r="F6" s="6" t="s">
        <v>237</v>
      </c>
      <c r="G6" s="4"/>
    </row>
    <row r="7" spans="1:7" ht="30" x14ac:dyDescent="0.25">
      <c r="A7" s="4"/>
      <c r="B7" s="4" t="s">
        <v>77</v>
      </c>
      <c r="C7" s="4" t="s">
        <v>105</v>
      </c>
      <c r="D7" s="4" t="s">
        <v>108</v>
      </c>
      <c r="E7" s="4"/>
      <c r="F7" s="6" t="s">
        <v>238</v>
      </c>
      <c r="G7" s="4"/>
    </row>
    <row r="8" spans="1:7" ht="45" x14ac:dyDescent="0.25">
      <c r="A8" s="4" t="s">
        <v>94</v>
      </c>
      <c r="B8" s="4" t="s">
        <v>79</v>
      </c>
      <c r="C8" s="4" t="s">
        <v>80</v>
      </c>
      <c r="D8" s="4" t="s">
        <v>107</v>
      </c>
      <c r="E8" s="17">
        <v>1</v>
      </c>
      <c r="F8" s="6" t="s">
        <v>239</v>
      </c>
      <c r="G8" s="4" t="s">
        <v>95</v>
      </c>
    </row>
    <row r="9" spans="1:7" ht="45" x14ac:dyDescent="0.25">
      <c r="A9" s="4"/>
      <c r="B9" s="4" t="s">
        <v>81</v>
      </c>
      <c r="C9" s="4" t="s">
        <v>82</v>
      </c>
      <c r="D9" s="4" t="s">
        <v>107</v>
      </c>
      <c r="E9" s="4" t="s">
        <v>83</v>
      </c>
      <c r="F9" s="7" t="s">
        <v>240</v>
      </c>
      <c r="G9" s="4"/>
    </row>
  </sheetData>
  <mergeCells count="2">
    <mergeCell ref="B1:G1"/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D7" sqref="D7"/>
    </sheetView>
  </sheetViews>
  <sheetFormatPr baseColWidth="10" defaultColWidth="9" defaultRowHeight="15" x14ac:dyDescent="0.25"/>
  <cols>
    <col min="1" max="1" width="24" customWidth="1"/>
    <col min="2" max="2" width="17.42578125" customWidth="1"/>
    <col min="3" max="3" width="19.28515625" bestFit="1" customWidth="1"/>
    <col min="4" max="4" width="9.85546875" customWidth="1"/>
    <col min="5" max="5" width="22" customWidth="1"/>
    <col min="6" max="6" width="61.7109375" customWidth="1"/>
    <col min="7" max="7" width="26.85546875" bestFit="1" customWidth="1"/>
  </cols>
  <sheetData>
    <row r="1" spans="1:7" ht="18.75" x14ac:dyDescent="0.3">
      <c r="A1" s="1" t="s">
        <v>106</v>
      </c>
      <c r="B1" s="33" t="s">
        <v>5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249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60" x14ac:dyDescent="0.25">
      <c r="A4" s="4" t="s">
        <v>72</v>
      </c>
      <c r="B4" s="4" t="s">
        <v>84</v>
      </c>
      <c r="C4" s="4" t="s">
        <v>70</v>
      </c>
      <c r="D4" s="4" t="s">
        <v>107</v>
      </c>
      <c r="E4" s="4" t="s">
        <v>71</v>
      </c>
      <c r="F4" s="8" t="s">
        <v>235</v>
      </c>
      <c r="G4" s="4"/>
    </row>
    <row r="5" spans="1:7" ht="30" x14ac:dyDescent="0.25">
      <c r="A5" s="4"/>
      <c r="B5" s="4" t="s">
        <v>85</v>
      </c>
      <c r="C5" s="4" t="s">
        <v>76</v>
      </c>
      <c r="D5" s="4" t="s">
        <v>107</v>
      </c>
      <c r="E5" s="4"/>
      <c r="F5" s="8" t="s">
        <v>242</v>
      </c>
      <c r="G5" s="4"/>
    </row>
    <row r="6" spans="1:7" x14ac:dyDescent="0.25">
      <c r="A6" s="4"/>
      <c r="B6" s="4" t="s">
        <v>86</v>
      </c>
      <c r="C6" s="4" t="s">
        <v>76</v>
      </c>
      <c r="D6" s="4" t="s">
        <v>107</v>
      </c>
      <c r="E6" s="4"/>
      <c r="F6" s="8" t="s">
        <v>243</v>
      </c>
      <c r="G6" s="4"/>
    </row>
    <row r="7" spans="1:7" x14ac:dyDescent="0.25">
      <c r="A7" s="4"/>
      <c r="B7" s="4" t="s">
        <v>87</v>
      </c>
      <c r="C7" s="4" t="s">
        <v>76</v>
      </c>
      <c r="D7" s="4" t="s">
        <v>107</v>
      </c>
      <c r="E7" s="4"/>
      <c r="F7" s="8" t="s">
        <v>244</v>
      </c>
      <c r="G7" s="4"/>
    </row>
    <row r="8" spans="1:7" x14ac:dyDescent="0.25">
      <c r="A8" s="4" t="s">
        <v>74</v>
      </c>
      <c r="B8" s="4" t="s">
        <v>88</v>
      </c>
      <c r="C8" s="4" t="s">
        <v>89</v>
      </c>
      <c r="D8" s="4" t="s">
        <v>107</v>
      </c>
      <c r="E8" s="4"/>
      <c r="F8" s="8" t="s">
        <v>245</v>
      </c>
      <c r="G8" s="4"/>
    </row>
    <row r="9" spans="1:7" ht="30" x14ac:dyDescent="0.25">
      <c r="A9" s="4"/>
      <c r="B9" s="4" t="s">
        <v>90</v>
      </c>
      <c r="C9" s="4" t="s">
        <v>91</v>
      </c>
      <c r="D9" s="4" t="s">
        <v>407</v>
      </c>
      <c r="E9" s="4"/>
      <c r="F9" s="8" t="s">
        <v>246</v>
      </c>
      <c r="G9" s="4"/>
    </row>
    <row r="10" spans="1:7" ht="30" x14ac:dyDescent="0.25">
      <c r="A10" s="4"/>
      <c r="B10" s="4" t="s">
        <v>79</v>
      </c>
      <c r="C10" s="4" t="s">
        <v>80</v>
      </c>
      <c r="D10" s="4" t="s">
        <v>107</v>
      </c>
      <c r="E10" s="17">
        <v>1</v>
      </c>
      <c r="F10" s="8" t="s">
        <v>247</v>
      </c>
      <c r="G10" s="4"/>
    </row>
    <row r="11" spans="1:7" ht="45" x14ac:dyDescent="0.25">
      <c r="A11" s="4"/>
      <c r="B11" s="4" t="s">
        <v>81</v>
      </c>
      <c r="C11" s="4" t="s">
        <v>82</v>
      </c>
      <c r="D11" s="4" t="s">
        <v>107</v>
      </c>
      <c r="E11" s="4" t="s">
        <v>83</v>
      </c>
      <c r="F11" s="8" t="s">
        <v>248</v>
      </c>
      <c r="G11" s="4"/>
    </row>
  </sheetData>
  <mergeCells count="2">
    <mergeCell ref="B1:G1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topLeftCell="E1" zoomScaleNormal="100" workbookViewId="0">
      <selection activeCell="F10" sqref="F10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0" bestFit="1" customWidth="1"/>
    <col min="4" max="4" width="21.85546875" customWidth="1"/>
    <col min="5" max="5" width="17.5703125" bestFit="1" customWidth="1"/>
    <col min="6" max="6" width="67.7109375" customWidth="1"/>
    <col min="7" max="7" width="15.85546875" bestFit="1" customWidth="1"/>
  </cols>
  <sheetData>
    <row r="1" spans="1:7" ht="18.75" x14ac:dyDescent="0.3">
      <c r="A1" s="1" t="s">
        <v>106</v>
      </c>
      <c r="B1" s="33" t="s">
        <v>7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254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5" x14ac:dyDescent="0.25">
      <c r="A4" s="4" t="s">
        <v>72</v>
      </c>
      <c r="B4" s="4" t="s">
        <v>92</v>
      </c>
      <c r="C4" s="4" t="s">
        <v>70</v>
      </c>
      <c r="D4" s="4" t="s">
        <v>107</v>
      </c>
      <c r="E4" s="4" t="s">
        <v>71</v>
      </c>
      <c r="F4" s="7" t="s">
        <v>235</v>
      </c>
      <c r="G4" s="4"/>
    </row>
    <row r="5" spans="1:7" ht="45" x14ac:dyDescent="0.25">
      <c r="A5" s="4" t="s">
        <v>94</v>
      </c>
      <c r="B5" s="4" t="s">
        <v>84</v>
      </c>
      <c r="C5" s="4" t="s">
        <v>93</v>
      </c>
      <c r="D5" s="4" t="s">
        <v>107</v>
      </c>
      <c r="E5" s="4"/>
      <c r="F5" s="7" t="s">
        <v>250</v>
      </c>
      <c r="G5" s="4" t="s">
        <v>95</v>
      </c>
    </row>
    <row r="6" spans="1:7" ht="45" x14ac:dyDescent="0.25">
      <c r="A6" s="4" t="s">
        <v>94</v>
      </c>
      <c r="B6" s="4" t="s">
        <v>69</v>
      </c>
      <c r="C6" s="4" t="s">
        <v>93</v>
      </c>
      <c r="D6" s="4" t="s">
        <v>107</v>
      </c>
      <c r="E6" s="4"/>
      <c r="F6" s="7" t="s">
        <v>251</v>
      </c>
      <c r="G6" s="4" t="s">
        <v>96</v>
      </c>
    </row>
    <row r="7" spans="1:7" ht="30" x14ac:dyDescent="0.25">
      <c r="A7" s="4"/>
      <c r="B7" s="4" t="s">
        <v>79</v>
      </c>
      <c r="C7" s="4" t="s">
        <v>80</v>
      </c>
      <c r="D7" s="4" t="s">
        <v>107</v>
      </c>
      <c r="E7" s="17">
        <v>1</v>
      </c>
      <c r="F7" s="7" t="s">
        <v>252</v>
      </c>
      <c r="G7" s="4"/>
    </row>
    <row r="8" spans="1:7" ht="45" x14ac:dyDescent="0.25">
      <c r="A8" s="4"/>
      <c r="B8" s="4" t="s">
        <v>97</v>
      </c>
      <c r="C8" s="4" t="s">
        <v>82</v>
      </c>
      <c r="D8" s="4" t="s">
        <v>107</v>
      </c>
      <c r="E8" s="4" t="s">
        <v>83</v>
      </c>
      <c r="F8" s="7" t="s">
        <v>253</v>
      </c>
      <c r="G8" s="4"/>
    </row>
    <row r="9" spans="1:7" ht="30" x14ac:dyDescent="0.25">
      <c r="A9" s="4"/>
      <c r="B9" s="4" t="s">
        <v>202</v>
      </c>
      <c r="C9" s="4" t="s">
        <v>82</v>
      </c>
      <c r="D9" s="4" t="s">
        <v>407</v>
      </c>
      <c r="E9" s="4" t="s">
        <v>83</v>
      </c>
      <c r="F9" s="7" t="s">
        <v>569</v>
      </c>
      <c r="G9" s="4"/>
    </row>
  </sheetData>
  <mergeCells count="2">
    <mergeCell ref="B1:G1"/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topLeftCell="C1" zoomScaleNormal="100" workbookViewId="0">
      <selection activeCell="F8" sqref="F8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0" bestFit="1" customWidth="1"/>
    <col min="4" max="4" width="21.85546875" customWidth="1"/>
    <col min="5" max="5" width="16.85546875" bestFit="1" customWidth="1"/>
    <col min="6" max="6" width="35.85546875" customWidth="1"/>
    <col min="7" max="7" width="36.140625" customWidth="1"/>
  </cols>
  <sheetData>
    <row r="1" spans="1:7" ht="18.75" x14ac:dyDescent="0.3">
      <c r="A1" s="1" t="s">
        <v>106</v>
      </c>
      <c r="B1" s="33" t="s">
        <v>9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255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90" x14ac:dyDescent="0.25">
      <c r="A4" s="4" t="s">
        <v>72</v>
      </c>
      <c r="B4" s="9" t="s">
        <v>98</v>
      </c>
      <c r="C4" s="9" t="s">
        <v>70</v>
      </c>
      <c r="D4" s="9" t="s">
        <v>107</v>
      </c>
      <c r="E4" s="9" t="s">
        <v>71</v>
      </c>
      <c r="F4" s="8" t="s">
        <v>235</v>
      </c>
      <c r="G4" s="4"/>
    </row>
    <row r="5" spans="1:7" ht="60" x14ac:dyDescent="0.25">
      <c r="A5" s="4" t="s">
        <v>94</v>
      </c>
      <c r="B5" s="9" t="s">
        <v>99</v>
      </c>
      <c r="C5" s="9" t="s">
        <v>93</v>
      </c>
      <c r="D5" s="9" t="s">
        <v>108</v>
      </c>
      <c r="E5" s="9"/>
      <c r="F5" s="8" t="s">
        <v>256</v>
      </c>
      <c r="G5" s="4" t="s">
        <v>100</v>
      </c>
    </row>
    <row r="6" spans="1:7" ht="45" x14ac:dyDescent="0.25">
      <c r="A6" s="4" t="s">
        <v>74</v>
      </c>
      <c r="B6" s="9" t="s">
        <v>73</v>
      </c>
      <c r="C6" s="9" t="s">
        <v>111</v>
      </c>
      <c r="D6" s="9" t="s">
        <v>108</v>
      </c>
      <c r="E6" s="9"/>
      <c r="F6" s="8" t="s">
        <v>257</v>
      </c>
      <c r="G6" s="4"/>
    </row>
    <row r="7" spans="1:7" ht="45" x14ac:dyDescent="0.25">
      <c r="A7" s="4"/>
      <c r="B7" s="9" t="s">
        <v>75</v>
      </c>
      <c r="C7" s="9" t="s">
        <v>126</v>
      </c>
      <c r="D7" s="9" t="s">
        <v>107</v>
      </c>
      <c r="E7" s="9"/>
      <c r="F7" s="8" t="s">
        <v>258</v>
      </c>
      <c r="G7" s="4"/>
    </row>
    <row r="8" spans="1:7" ht="30" x14ac:dyDescent="0.25">
      <c r="A8" s="4"/>
      <c r="B8" s="9" t="s">
        <v>263</v>
      </c>
      <c r="C8" s="9" t="s">
        <v>104</v>
      </c>
      <c r="D8" s="9" t="s">
        <v>107</v>
      </c>
      <c r="E8" s="9"/>
      <c r="F8" s="8" t="s">
        <v>259</v>
      </c>
      <c r="G8" s="4"/>
    </row>
    <row r="9" spans="1:7" ht="16.5" x14ac:dyDescent="0.25">
      <c r="A9" s="4"/>
      <c r="B9" s="9" t="s">
        <v>264</v>
      </c>
      <c r="C9" s="9" t="s">
        <v>265</v>
      </c>
      <c r="D9" s="9" t="s">
        <v>107</v>
      </c>
      <c r="E9" s="9"/>
      <c r="F9" s="8" t="s">
        <v>260</v>
      </c>
      <c r="G9" s="4"/>
    </row>
    <row r="10" spans="1:7" ht="60" x14ac:dyDescent="0.25">
      <c r="A10" s="4"/>
      <c r="B10" s="9" t="s">
        <v>103</v>
      </c>
      <c r="C10" s="9" t="s">
        <v>80</v>
      </c>
      <c r="D10" s="9" t="s">
        <v>107</v>
      </c>
      <c r="E10" s="18">
        <v>1</v>
      </c>
      <c r="F10" s="8" t="s">
        <v>261</v>
      </c>
      <c r="G10" s="4"/>
    </row>
    <row r="11" spans="1:7" ht="60" x14ac:dyDescent="0.25">
      <c r="A11" s="4"/>
      <c r="B11" s="4" t="s">
        <v>81</v>
      </c>
      <c r="C11" s="4" t="s">
        <v>82</v>
      </c>
      <c r="D11" s="4" t="s">
        <v>107</v>
      </c>
      <c r="E11" s="4" t="s">
        <v>83</v>
      </c>
      <c r="F11" s="8" t="s">
        <v>262</v>
      </c>
      <c r="G11" s="4"/>
    </row>
  </sheetData>
  <mergeCells count="2">
    <mergeCell ref="B1:G1"/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/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0" bestFit="1" customWidth="1"/>
    <col min="4" max="4" width="21.85546875" customWidth="1"/>
    <col min="5" max="5" width="17.5703125" style="20" bestFit="1" customWidth="1"/>
    <col min="6" max="6" width="35.28515625" customWidth="1"/>
    <col min="7" max="7" width="37" customWidth="1"/>
  </cols>
  <sheetData>
    <row r="1" spans="1:7" ht="18.75" x14ac:dyDescent="0.3">
      <c r="A1" s="1" t="s">
        <v>106</v>
      </c>
      <c r="B1" s="33" t="s">
        <v>11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266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19" t="s">
        <v>66</v>
      </c>
      <c r="F3" s="3" t="s">
        <v>0</v>
      </c>
      <c r="G3" s="3" t="s">
        <v>68</v>
      </c>
    </row>
    <row r="4" spans="1:7" ht="90" x14ac:dyDescent="0.25">
      <c r="A4" s="4" t="s">
        <v>72</v>
      </c>
      <c r="B4" s="4" t="s">
        <v>109</v>
      </c>
      <c r="C4" s="4" t="s">
        <v>70</v>
      </c>
      <c r="D4" s="4" t="s">
        <v>107</v>
      </c>
      <c r="E4" s="17" t="s">
        <v>71</v>
      </c>
      <c r="F4" s="7" t="s">
        <v>235</v>
      </c>
      <c r="G4" s="4"/>
    </row>
    <row r="5" spans="1:7" ht="75" x14ac:dyDescent="0.25">
      <c r="A5" s="4" t="s">
        <v>94</v>
      </c>
      <c r="B5" s="4" t="s">
        <v>84</v>
      </c>
      <c r="C5" s="4" t="s">
        <v>93</v>
      </c>
      <c r="D5" s="4" t="s">
        <v>107</v>
      </c>
      <c r="E5" s="17"/>
      <c r="F5" s="7" t="s">
        <v>250</v>
      </c>
      <c r="G5" s="4" t="s">
        <v>95</v>
      </c>
    </row>
    <row r="6" spans="1:7" ht="75" x14ac:dyDescent="0.25">
      <c r="A6" s="4" t="s">
        <v>94</v>
      </c>
      <c r="B6" s="4" t="s">
        <v>98</v>
      </c>
      <c r="C6" s="4" t="s">
        <v>93</v>
      </c>
      <c r="D6" s="4" t="s">
        <v>107</v>
      </c>
      <c r="E6" s="17"/>
      <c r="F6" s="7" t="s">
        <v>268</v>
      </c>
      <c r="G6" s="4" t="s">
        <v>100</v>
      </c>
    </row>
    <row r="7" spans="1:7" ht="45" x14ac:dyDescent="0.25">
      <c r="A7" s="4"/>
      <c r="B7" s="4" t="s">
        <v>267</v>
      </c>
      <c r="C7" s="4" t="s">
        <v>80</v>
      </c>
      <c r="D7" s="4" t="s">
        <v>107</v>
      </c>
      <c r="E7" s="17">
        <v>0</v>
      </c>
      <c r="F7" s="7" t="s">
        <v>269</v>
      </c>
      <c r="G7" s="4"/>
    </row>
    <row r="8" spans="1:7" ht="60" x14ac:dyDescent="0.25">
      <c r="A8" s="4"/>
      <c r="B8" s="4" t="s">
        <v>79</v>
      </c>
      <c r="C8" s="4" t="s">
        <v>80</v>
      </c>
      <c r="D8" s="4" t="s">
        <v>107</v>
      </c>
      <c r="E8" s="17">
        <v>1</v>
      </c>
      <c r="F8" s="7" t="s">
        <v>270</v>
      </c>
      <c r="G8" s="4"/>
    </row>
    <row r="9" spans="1:7" ht="75" x14ac:dyDescent="0.25">
      <c r="A9" s="4"/>
      <c r="B9" s="4" t="s">
        <v>199</v>
      </c>
      <c r="C9" s="4" t="s">
        <v>82</v>
      </c>
      <c r="D9" s="4" t="s">
        <v>107</v>
      </c>
      <c r="E9" s="17" t="s">
        <v>83</v>
      </c>
      <c r="F9" s="7" t="s">
        <v>271</v>
      </c>
      <c r="G9" s="4"/>
    </row>
    <row r="10" spans="1:7" ht="75" x14ac:dyDescent="0.25">
      <c r="A10" s="4"/>
      <c r="B10" s="4" t="s">
        <v>202</v>
      </c>
      <c r="C10" s="4" t="s">
        <v>82</v>
      </c>
      <c r="D10" s="4" t="s">
        <v>108</v>
      </c>
      <c r="E10" s="17"/>
      <c r="F10" s="7" t="s">
        <v>272</v>
      </c>
      <c r="G10" s="4"/>
    </row>
  </sheetData>
  <mergeCells count="2">
    <mergeCell ref="B1:G1"/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topLeftCell="B1" workbookViewId="0">
      <selection activeCell="B1" sqref="B1:G1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0" bestFit="1" customWidth="1"/>
    <col min="4" max="4" width="21.85546875" customWidth="1"/>
    <col min="5" max="5" width="20.5703125" customWidth="1"/>
    <col min="6" max="6" width="35.85546875" customWidth="1"/>
    <col min="7" max="7" width="38.85546875" customWidth="1"/>
  </cols>
  <sheetData>
    <row r="1" spans="1:7" ht="18.75" x14ac:dyDescent="0.3">
      <c r="A1" s="1" t="s">
        <v>106</v>
      </c>
      <c r="B1" s="33" t="s">
        <v>13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278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90" x14ac:dyDescent="0.25">
      <c r="A4" s="4" t="s">
        <v>72</v>
      </c>
      <c r="B4" s="4" t="s">
        <v>110</v>
      </c>
      <c r="C4" s="4" t="s">
        <v>70</v>
      </c>
      <c r="D4" s="4" t="s">
        <v>107</v>
      </c>
      <c r="E4" s="4" t="s">
        <v>71</v>
      </c>
      <c r="F4" s="7" t="s">
        <v>235</v>
      </c>
      <c r="G4" s="4"/>
    </row>
    <row r="5" spans="1:7" ht="45" x14ac:dyDescent="0.25">
      <c r="A5" s="4" t="s">
        <v>74</v>
      </c>
      <c r="B5" s="4" t="s">
        <v>73</v>
      </c>
      <c r="C5" s="4" t="s">
        <v>111</v>
      </c>
      <c r="D5" s="4" t="s">
        <v>107</v>
      </c>
      <c r="E5" s="4"/>
      <c r="F5" s="7" t="s">
        <v>273</v>
      </c>
      <c r="G5" s="4"/>
    </row>
    <row r="6" spans="1:7" ht="75" x14ac:dyDescent="0.25">
      <c r="A6" s="4"/>
      <c r="B6" s="4" t="s">
        <v>75</v>
      </c>
      <c r="C6" s="4" t="s">
        <v>102</v>
      </c>
      <c r="D6" s="4" t="s">
        <v>107</v>
      </c>
      <c r="E6" s="4"/>
      <c r="F6" s="7" t="s">
        <v>274</v>
      </c>
      <c r="G6" s="4"/>
    </row>
    <row r="7" spans="1:7" ht="60" x14ac:dyDescent="0.25">
      <c r="A7" s="4"/>
      <c r="B7" s="4" t="s">
        <v>77</v>
      </c>
      <c r="C7" s="4" t="s">
        <v>112</v>
      </c>
      <c r="D7" s="4" t="s">
        <v>108</v>
      </c>
      <c r="E7" s="4"/>
      <c r="F7" s="7" t="s">
        <v>275</v>
      </c>
      <c r="G7" s="4"/>
    </row>
    <row r="8" spans="1:7" ht="60" x14ac:dyDescent="0.25">
      <c r="A8" s="4"/>
      <c r="B8" s="4" t="s">
        <v>79</v>
      </c>
      <c r="C8" s="4" t="s">
        <v>80</v>
      </c>
      <c r="D8" s="4" t="s">
        <v>107</v>
      </c>
      <c r="E8" s="17">
        <v>1</v>
      </c>
      <c r="F8" s="7" t="s">
        <v>276</v>
      </c>
      <c r="G8" s="4"/>
    </row>
    <row r="9" spans="1:7" ht="60" x14ac:dyDescent="0.25">
      <c r="A9" s="4"/>
      <c r="B9" s="4" t="s">
        <v>81</v>
      </c>
      <c r="C9" s="4" t="s">
        <v>82</v>
      </c>
      <c r="D9" s="4"/>
      <c r="E9" s="4" t="s">
        <v>83</v>
      </c>
      <c r="F9" s="7" t="s">
        <v>277</v>
      </c>
      <c r="G9" s="4"/>
    </row>
  </sheetData>
  <mergeCells count="2">
    <mergeCell ref="B1:G1"/>
    <mergeCell ref="B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>
      <selection activeCell="A4" sqref="A4:G8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0" bestFit="1" customWidth="1"/>
    <col min="4" max="4" width="21.85546875" customWidth="1"/>
    <col min="5" max="5" width="17.5703125" bestFit="1" customWidth="1"/>
    <col min="6" max="6" width="35.85546875" customWidth="1"/>
    <col min="7" max="7" width="38.85546875" customWidth="1"/>
  </cols>
  <sheetData>
    <row r="1" spans="1:7" ht="18.75" x14ac:dyDescent="0.3">
      <c r="A1" s="1" t="s">
        <v>106</v>
      </c>
      <c r="B1" s="33" t="s">
        <v>15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279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90" x14ac:dyDescent="0.25">
      <c r="A4" s="4" t="s">
        <v>72</v>
      </c>
      <c r="B4" s="4" t="s">
        <v>113</v>
      </c>
      <c r="C4" s="4" t="s">
        <v>70</v>
      </c>
      <c r="D4" s="4" t="s">
        <v>107</v>
      </c>
      <c r="E4" s="4" t="s">
        <v>71</v>
      </c>
      <c r="F4" s="7" t="s">
        <v>235</v>
      </c>
      <c r="G4" s="4"/>
    </row>
    <row r="5" spans="1:7" ht="75" x14ac:dyDescent="0.25">
      <c r="A5" s="4" t="s">
        <v>94</v>
      </c>
      <c r="B5" s="4" t="s">
        <v>98</v>
      </c>
      <c r="C5" s="4" t="s">
        <v>93</v>
      </c>
      <c r="D5" s="4" t="s">
        <v>107</v>
      </c>
      <c r="E5" s="4"/>
      <c r="F5" s="7" t="s">
        <v>268</v>
      </c>
      <c r="G5" s="4" t="s">
        <v>100</v>
      </c>
    </row>
    <row r="6" spans="1:7" ht="75" x14ac:dyDescent="0.25">
      <c r="A6" s="4" t="s">
        <v>94</v>
      </c>
      <c r="B6" s="4" t="s">
        <v>110</v>
      </c>
      <c r="C6" s="4" t="s">
        <v>93</v>
      </c>
      <c r="D6" s="4" t="s">
        <v>107</v>
      </c>
      <c r="E6" s="4"/>
      <c r="F6" s="7" t="s">
        <v>280</v>
      </c>
      <c r="G6" s="4" t="s">
        <v>115</v>
      </c>
    </row>
    <row r="7" spans="1:7" ht="45" x14ac:dyDescent="0.25">
      <c r="A7" s="4"/>
      <c r="B7" s="4" t="s">
        <v>79</v>
      </c>
      <c r="C7" s="4" t="s">
        <v>80</v>
      </c>
      <c r="D7" s="4" t="s">
        <v>107</v>
      </c>
      <c r="E7" s="17">
        <v>1</v>
      </c>
      <c r="F7" s="7" t="s">
        <v>515</v>
      </c>
      <c r="G7" s="4"/>
    </row>
    <row r="8" spans="1:7" ht="60" x14ac:dyDescent="0.25">
      <c r="A8" s="4"/>
      <c r="B8" s="4" t="s">
        <v>114</v>
      </c>
      <c r="C8" s="4" t="s">
        <v>82</v>
      </c>
      <c r="D8" s="4" t="s">
        <v>107</v>
      </c>
      <c r="E8" s="4" t="s">
        <v>83</v>
      </c>
      <c r="F8" s="7" t="s">
        <v>281</v>
      </c>
      <c r="G8" s="4"/>
    </row>
  </sheetData>
  <mergeCells count="2">
    <mergeCell ref="B1:G1"/>
    <mergeCell ref="B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>
      <selection activeCell="F7" sqref="F7"/>
    </sheetView>
  </sheetViews>
  <sheetFormatPr baseColWidth="10" defaultColWidth="9" defaultRowHeight="15" x14ac:dyDescent="0.25"/>
  <cols>
    <col min="1" max="1" width="24.85546875" bestFit="1" customWidth="1"/>
    <col min="2" max="2" width="23" customWidth="1"/>
    <col min="3" max="3" width="20" bestFit="1" customWidth="1"/>
    <col min="4" max="4" width="21.85546875" customWidth="1"/>
    <col min="5" max="5" width="11.85546875" customWidth="1"/>
    <col min="6" max="6" width="35.85546875" customWidth="1"/>
    <col min="7" max="7" width="18.85546875" customWidth="1"/>
  </cols>
  <sheetData>
    <row r="1" spans="1:7" ht="18.75" x14ac:dyDescent="0.3">
      <c r="A1" s="1" t="s">
        <v>106</v>
      </c>
      <c r="B1" s="33" t="s">
        <v>17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8" t="s">
        <v>284</v>
      </c>
      <c r="C2" s="38"/>
      <c r="D2" s="38"/>
      <c r="E2" s="38"/>
      <c r="F2" s="38"/>
      <c r="G2" s="38"/>
    </row>
    <row r="3" spans="1:7" ht="15.75" x14ac:dyDescent="0.25">
      <c r="A3" s="3" t="s">
        <v>67</v>
      </c>
      <c r="B3" s="3" t="s">
        <v>283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90" x14ac:dyDescent="0.25">
      <c r="A4" s="4" t="s">
        <v>72</v>
      </c>
      <c r="B4" s="4" t="s">
        <v>116</v>
      </c>
      <c r="C4" s="4" t="s">
        <v>70</v>
      </c>
      <c r="D4" s="4" t="s">
        <v>107</v>
      </c>
      <c r="E4" s="4" t="s">
        <v>71</v>
      </c>
      <c r="F4" s="7" t="s">
        <v>235</v>
      </c>
      <c r="G4" s="4"/>
    </row>
    <row r="5" spans="1:7" ht="45" x14ac:dyDescent="0.25">
      <c r="A5" s="4" t="s">
        <v>74</v>
      </c>
      <c r="B5" s="4" t="s">
        <v>73</v>
      </c>
      <c r="C5" s="4" t="s">
        <v>101</v>
      </c>
      <c r="D5" s="4" t="s">
        <v>107</v>
      </c>
      <c r="E5" s="4"/>
      <c r="F5" s="7" t="s">
        <v>285</v>
      </c>
      <c r="G5" s="4"/>
    </row>
    <row r="6" spans="1:7" ht="45" x14ac:dyDescent="0.25">
      <c r="A6" s="4"/>
      <c r="B6" s="4" t="s">
        <v>75</v>
      </c>
      <c r="C6" s="4" t="s">
        <v>91</v>
      </c>
      <c r="D6" s="4" t="s">
        <v>107</v>
      </c>
      <c r="E6" s="4"/>
      <c r="F6" s="7" t="s">
        <v>286</v>
      </c>
      <c r="G6" s="4"/>
    </row>
    <row r="7" spans="1:7" ht="90" x14ac:dyDescent="0.25">
      <c r="A7" s="4"/>
      <c r="B7" s="4" t="s">
        <v>103</v>
      </c>
      <c r="C7" s="4" t="s">
        <v>80</v>
      </c>
      <c r="D7" s="4" t="s">
        <v>107</v>
      </c>
      <c r="E7" s="17">
        <v>1</v>
      </c>
      <c r="F7" s="7" t="s">
        <v>549</v>
      </c>
      <c r="G7" s="4"/>
    </row>
  </sheetData>
  <mergeCells count="2">
    <mergeCell ref="B1:G1"/>
    <mergeCell ref="B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>
      <selection activeCell="F8" sqref="F8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0" bestFit="1" customWidth="1"/>
    <col min="4" max="4" width="21.85546875" customWidth="1"/>
    <col min="5" max="5" width="11.85546875" customWidth="1"/>
    <col min="6" max="6" width="35.85546875" customWidth="1"/>
    <col min="7" max="7" width="25.85546875" customWidth="1"/>
  </cols>
  <sheetData>
    <row r="1" spans="1:7" ht="18.75" x14ac:dyDescent="0.3">
      <c r="A1" s="1" t="s">
        <v>106</v>
      </c>
      <c r="B1" s="33" t="s">
        <v>19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8" t="s">
        <v>287</v>
      </c>
      <c r="C2" s="38"/>
      <c r="D2" s="38"/>
      <c r="E2" s="38"/>
      <c r="F2" s="38"/>
      <c r="G2" s="38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90" x14ac:dyDescent="0.25">
      <c r="A4" s="4" t="s">
        <v>72</v>
      </c>
      <c r="B4" s="4" t="s">
        <v>117</v>
      </c>
      <c r="C4" s="4" t="s">
        <v>70</v>
      </c>
      <c r="D4" s="4" t="s">
        <v>107</v>
      </c>
      <c r="E4" s="4" t="s">
        <v>71</v>
      </c>
      <c r="F4" s="7" t="s">
        <v>235</v>
      </c>
      <c r="G4" s="4"/>
    </row>
    <row r="5" spans="1:7" ht="45" x14ac:dyDescent="0.25">
      <c r="A5" s="4"/>
      <c r="B5" s="4" t="s">
        <v>73</v>
      </c>
      <c r="C5" s="4" t="s">
        <v>104</v>
      </c>
      <c r="D5" s="4" t="s">
        <v>107</v>
      </c>
      <c r="E5" s="4"/>
      <c r="F5" s="7" t="s">
        <v>288</v>
      </c>
      <c r="G5" s="4"/>
    </row>
    <row r="6" spans="1:7" ht="45" x14ac:dyDescent="0.25">
      <c r="A6" s="4" t="s">
        <v>74</v>
      </c>
      <c r="B6" s="4" t="s">
        <v>75</v>
      </c>
      <c r="C6" s="4" t="s">
        <v>118</v>
      </c>
      <c r="D6" s="4" t="s">
        <v>107</v>
      </c>
      <c r="E6" s="4"/>
      <c r="F6" s="7" t="s">
        <v>289</v>
      </c>
      <c r="G6" s="4"/>
    </row>
    <row r="7" spans="1:7" x14ac:dyDescent="0.25">
      <c r="A7" s="4"/>
      <c r="B7" s="4" t="s">
        <v>119</v>
      </c>
      <c r="C7" s="4" t="s">
        <v>93</v>
      </c>
      <c r="D7" s="4" t="s">
        <v>107</v>
      </c>
      <c r="E7" s="4"/>
      <c r="F7" s="7" t="s">
        <v>290</v>
      </c>
      <c r="G7" s="4"/>
    </row>
    <row r="8" spans="1:7" ht="60" x14ac:dyDescent="0.25">
      <c r="A8" s="4"/>
      <c r="B8" s="4" t="s">
        <v>103</v>
      </c>
      <c r="C8" s="4" t="s">
        <v>80</v>
      </c>
      <c r="D8" s="4" t="s">
        <v>107</v>
      </c>
      <c r="E8" s="17">
        <v>1</v>
      </c>
      <c r="F8" s="7" t="s">
        <v>291</v>
      </c>
      <c r="G8" s="4"/>
    </row>
  </sheetData>
  <mergeCells count="2">
    <mergeCell ref="B1:G1"/>
    <mergeCell ref="B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topLeftCell="D1" workbookViewId="0">
      <selection activeCell="F9" sqref="F9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0" bestFit="1" customWidth="1"/>
    <col min="4" max="4" width="21.85546875" customWidth="1"/>
    <col min="5" max="5" width="11.85546875" customWidth="1"/>
    <col min="6" max="6" width="56.7109375" customWidth="1"/>
    <col min="7" max="7" width="25.7109375" customWidth="1"/>
  </cols>
  <sheetData>
    <row r="1" spans="1:7" ht="18.75" x14ac:dyDescent="0.3">
      <c r="A1" s="1" t="s">
        <v>106</v>
      </c>
      <c r="B1" s="33" t="s">
        <v>21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282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60" x14ac:dyDescent="0.25">
      <c r="A4" s="4" t="s">
        <v>72</v>
      </c>
      <c r="B4" s="4" t="s">
        <v>120</v>
      </c>
      <c r="C4" s="4" t="s">
        <v>70</v>
      </c>
      <c r="D4" s="4" t="s">
        <v>107</v>
      </c>
      <c r="E4" s="4" t="s">
        <v>71</v>
      </c>
      <c r="F4" s="7" t="s">
        <v>235</v>
      </c>
      <c r="G4" s="4"/>
    </row>
    <row r="5" spans="1:7" ht="30" x14ac:dyDescent="0.25">
      <c r="A5" s="4" t="s">
        <v>74</v>
      </c>
      <c r="B5" s="4" t="s">
        <v>73</v>
      </c>
      <c r="C5" s="4" t="s">
        <v>104</v>
      </c>
      <c r="D5" s="4" t="s">
        <v>107</v>
      </c>
      <c r="E5" s="4"/>
      <c r="F5" s="7" t="s">
        <v>292</v>
      </c>
      <c r="G5" s="4"/>
    </row>
    <row r="6" spans="1:7" ht="30" x14ac:dyDescent="0.25">
      <c r="A6" s="4"/>
      <c r="B6" s="4" t="s">
        <v>75</v>
      </c>
      <c r="C6" s="4" t="s">
        <v>76</v>
      </c>
      <c r="D6" s="4" t="s">
        <v>107</v>
      </c>
      <c r="E6" s="4"/>
      <c r="F6" s="7" t="s">
        <v>293</v>
      </c>
      <c r="G6" s="4"/>
    </row>
    <row r="7" spans="1:7" ht="30" x14ac:dyDescent="0.25">
      <c r="A7" s="4"/>
      <c r="B7" s="4" t="s">
        <v>121</v>
      </c>
      <c r="C7" s="4" t="s">
        <v>80</v>
      </c>
      <c r="D7" s="4" t="s">
        <v>107</v>
      </c>
      <c r="E7" s="17">
        <v>0</v>
      </c>
      <c r="F7" s="7" t="s">
        <v>294</v>
      </c>
      <c r="G7" s="4"/>
    </row>
    <row r="8" spans="1:7" ht="45" x14ac:dyDescent="0.25">
      <c r="A8" s="4"/>
      <c r="B8" s="4" t="s">
        <v>103</v>
      </c>
      <c r="C8" s="4" t="s">
        <v>80</v>
      </c>
      <c r="D8" s="4" t="s">
        <v>107</v>
      </c>
      <c r="E8" s="17">
        <v>1</v>
      </c>
      <c r="F8" s="7" t="s">
        <v>295</v>
      </c>
      <c r="G8" s="4"/>
    </row>
  </sheetData>
  <mergeCells count="2">
    <mergeCell ref="B1:G1"/>
    <mergeCell ref="B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"/>
  <sheetViews>
    <sheetView workbookViewId="0">
      <selection activeCell="A21" sqref="A21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52.42578125" customWidth="1"/>
    <col min="7" max="7" width="34.85546875" customWidth="1"/>
  </cols>
  <sheetData>
    <row r="1" spans="1:7" ht="18.75" x14ac:dyDescent="0.3">
      <c r="A1" s="1" t="s">
        <v>106</v>
      </c>
      <c r="B1" s="33" t="s">
        <v>296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318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60" x14ac:dyDescent="0.25">
      <c r="A4" s="4" t="s">
        <v>72</v>
      </c>
      <c r="B4" s="4" t="s">
        <v>122</v>
      </c>
      <c r="C4" s="4" t="s">
        <v>123</v>
      </c>
      <c r="D4" s="4" t="s">
        <v>107</v>
      </c>
      <c r="E4" s="4" t="s">
        <v>71</v>
      </c>
      <c r="F4" s="10" t="s">
        <v>235</v>
      </c>
      <c r="G4" s="4"/>
    </row>
    <row r="5" spans="1:7" x14ac:dyDescent="0.25">
      <c r="A5" s="4" t="s">
        <v>74</v>
      </c>
      <c r="B5" s="4" t="s">
        <v>124</v>
      </c>
      <c r="C5" s="4" t="s">
        <v>101</v>
      </c>
      <c r="D5" s="4" t="s">
        <v>107</v>
      </c>
      <c r="E5" s="4"/>
      <c r="F5" s="10" t="s">
        <v>297</v>
      </c>
      <c r="G5" s="4"/>
    </row>
    <row r="6" spans="1:7" ht="30" x14ac:dyDescent="0.25">
      <c r="A6" s="4"/>
      <c r="B6" s="4" t="s">
        <v>125</v>
      </c>
      <c r="C6" s="4" t="s">
        <v>181</v>
      </c>
      <c r="D6" s="4" t="s">
        <v>107</v>
      </c>
      <c r="E6" s="4"/>
      <c r="F6" s="10" t="s">
        <v>320</v>
      </c>
      <c r="G6" s="4"/>
    </row>
    <row r="7" spans="1:7" ht="60" x14ac:dyDescent="0.25">
      <c r="A7" s="4"/>
      <c r="B7" s="4" t="s">
        <v>77</v>
      </c>
      <c r="C7" s="4" t="s">
        <v>298</v>
      </c>
      <c r="D7" s="4" t="s">
        <v>107</v>
      </c>
      <c r="E7" s="4"/>
      <c r="F7" s="10" t="s">
        <v>321</v>
      </c>
      <c r="G7" s="4"/>
    </row>
    <row r="8" spans="1:7" ht="30" x14ac:dyDescent="0.25">
      <c r="A8" s="4" t="s">
        <v>94</v>
      </c>
      <c r="B8" s="4" t="s">
        <v>299</v>
      </c>
      <c r="C8" s="4" t="s">
        <v>93</v>
      </c>
      <c r="D8" s="4" t="s">
        <v>107</v>
      </c>
      <c r="E8" s="4"/>
      <c r="F8" s="10" t="s">
        <v>324</v>
      </c>
      <c r="G8" s="4" t="s">
        <v>100</v>
      </c>
    </row>
    <row r="9" spans="1:7" ht="30" x14ac:dyDescent="0.25">
      <c r="A9" s="4" t="s">
        <v>94</v>
      </c>
      <c r="B9" s="4" t="s">
        <v>110</v>
      </c>
      <c r="C9" s="4" t="s">
        <v>93</v>
      </c>
      <c r="D9" s="4" t="s">
        <v>108</v>
      </c>
      <c r="E9" s="4"/>
      <c r="F9" s="11" t="s">
        <v>325</v>
      </c>
      <c r="G9" s="4" t="s">
        <v>115</v>
      </c>
    </row>
    <row r="10" spans="1:7" ht="30" x14ac:dyDescent="0.25">
      <c r="A10" s="4" t="s">
        <v>94</v>
      </c>
      <c r="B10" s="4" t="s">
        <v>116</v>
      </c>
      <c r="C10" s="4" t="s">
        <v>93</v>
      </c>
      <c r="D10" s="4" t="s">
        <v>107</v>
      </c>
      <c r="E10" s="4"/>
      <c r="F10" s="10" t="s">
        <v>326</v>
      </c>
      <c r="G10" s="4" t="s">
        <v>128</v>
      </c>
    </row>
    <row r="11" spans="1:7" ht="30" x14ac:dyDescent="0.25">
      <c r="A11" s="4" t="s">
        <v>94</v>
      </c>
      <c r="B11" s="4" t="s">
        <v>117</v>
      </c>
      <c r="C11" s="4" t="s">
        <v>93</v>
      </c>
      <c r="D11" s="4" t="s">
        <v>107</v>
      </c>
      <c r="E11" s="4"/>
      <c r="F11" s="10" t="s">
        <v>327</v>
      </c>
      <c r="G11" s="4" t="s">
        <v>129</v>
      </c>
    </row>
    <row r="12" spans="1:7" ht="30" x14ac:dyDescent="0.25">
      <c r="A12" s="4" t="s">
        <v>94</v>
      </c>
      <c r="B12" s="4" t="s">
        <v>120</v>
      </c>
      <c r="C12" s="4" t="s">
        <v>93</v>
      </c>
      <c r="D12" s="4" t="s">
        <v>107</v>
      </c>
      <c r="E12" s="4"/>
      <c r="F12" s="10" t="s">
        <v>328</v>
      </c>
      <c r="G12" s="4" t="s">
        <v>130</v>
      </c>
    </row>
    <row r="13" spans="1:7" ht="60" x14ac:dyDescent="0.25">
      <c r="A13" s="4" t="s">
        <v>94</v>
      </c>
      <c r="B13" s="4" t="s">
        <v>127</v>
      </c>
      <c r="C13" s="4" t="s">
        <v>93</v>
      </c>
      <c r="D13" s="4" t="s">
        <v>107</v>
      </c>
      <c r="E13" s="4"/>
      <c r="F13" s="10" t="s">
        <v>329</v>
      </c>
      <c r="G13" s="4" t="s">
        <v>95</v>
      </c>
    </row>
    <row r="14" spans="1:7" ht="45" x14ac:dyDescent="0.25">
      <c r="A14" s="4"/>
      <c r="B14" s="4" t="s">
        <v>300</v>
      </c>
      <c r="C14" s="4" t="s">
        <v>82</v>
      </c>
      <c r="D14" s="4" t="s">
        <v>107</v>
      </c>
      <c r="E14" s="4" t="s">
        <v>83</v>
      </c>
      <c r="F14" s="10" t="s">
        <v>330</v>
      </c>
      <c r="G14" s="4"/>
    </row>
    <row r="15" spans="1:7" ht="30" x14ac:dyDescent="0.25">
      <c r="A15" s="4"/>
      <c r="B15" s="4" t="s">
        <v>200</v>
      </c>
      <c r="C15" s="4" t="s">
        <v>82</v>
      </c>
      <c r="D15" s="4" t="s">
        <v>108</v>
      </c>
      <c r="E15" s="4"/>
      <c r="F15" s="10" t="s">
        <v>331</v>
      </c>
      <c r="G15" s="4"/>
    </row>
    <row r="16" spans="1:7" ht="45" x14ac:dyDescent="0.25">
      <c r="A16" s="4"/>
      <c r="B16" s="4" t="s">
        <v>301</v>
      </c>
      <c r="C16" s="4" t="s">
        <v>82</v>
      </c>
      <c r="D16" s="4" t="s">
        <v>108</v>
      </c>
      <c r="E16" s="4"/>
      <c r="F16" s="10" t="s">
        <v>332</v>
      </c>
      <c r="G16" s="4"/>
    </row>
    <row r="17" spans="1:7" x14ac:dyDescent="0.25">
      <c r="A17" s="4"/>
      <c r="B17" s="4" t="s">
        <v>302</v>
      </c>
      <c r="C17" s="4" t="s">
        <v>303</v>
      </c>
      <c r="D17" s="4" t="s">
        <v>108</v>
      </c>
      <c r="E17" s="4"/>
      <c r="F17" s="10" t="s">
        <v>333</v>
      </c>
      <c r="G17" s="4"/>
    </row>
    <row r="18" spans="1:7" ht="45" x14ac:dyDescent="0.25">
      <c r="A18" s="4"/>
      <c r="B18" s="4" t="s">
        <v>79</v>
      </c>
      <c r="C18" s="4" t="s">
        <v>80</v>
      </c>
      <c r="D18" s="4" t="s">
        <v>107</v>
      </c>
      <c r="E18" s="17">
        <v>1</v>
      </c>
      <c r="F18" s="10" t="s">
        <v>334</v>
      </c>
      <c r="G18" s="4"/>
    </row>
  </sheetData>
  <mergeCells count="2">
    <mergeCell ref="B1:G1"/>
    <mergeCell ref="B2:G2"/>
  </mergeCells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topLeftCell="D1" workbookViewId="0">
      <selection activeCell="F13" sqref="F13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66.42578125" customWidth="1"/>
    <col min="7" max="7" width="29.140625" customWidth="1"/>
  </cols>
  <sheetData>
    <row r="1" spans="1:7" ht="18.75" x14ac:dyDescent="0.3">
      <c r="A1" s="1" t="s">
        <v>106</v>
      </c>
      <c r="B1" s="33" t="s">
        <v>25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335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60" x14ac:dyDescent="0.25">
      <c r="A4" s="9" t="s">
        <v>72</v>
      </c>
      <c r="B4" s="9" t="s">
        <v>131</v>
      </c>
      <c r="C4" s="9" t="s">
        <v>123</v>
      </c>
      <c r="D4" s="9" t="s">
        <v>107</v>
      </c>
      <c r="E4" s="14" t="s">
        <v>71</v>
      </c>
      <c r="F4" s="7" t="s">
        <v>235</v>
      </c>
      <c r="G4" s="4"/>
    </row>
    <row r="5" spans="1:7" ht="45" x14ac:dyDescent="0.25">
      <c r="A5" s="9" t="s">
        <v>94</v>
      </c>
      <c r="B5" s="9" t="s">
        <v>122</v>
      </c>
      <c r="C5" s="9" t="s">
        <v>132</v>
      </c>
      <c r="D5" s="9" t="s">
        <v>107</v>
      </c>
      <c r="E5" s="4"/>
      <c r="F5" s="7" t="s">
        <v>338</v>
      </c>
      <c r="G5" s="9" t="s">
        <v>133</v>
      </c>
    </row>
    <row r="6" spans="1:7" ht="45" x14ac:dyDescent="0.25">
      <c r="A6" s="9" t="s">
        <v>94</v>
      </c>
      <c r="B6" s="9" t="s">
        <v>84</v>
      </c>
      <c r="C6" s="9" t="s">
        <v>93</v>
      </c>
      <c r="D6" s="9" t="s">
        <v>107</v>
      </c>
      <c r="E6" s="4"/>
      <c r="F6" s="7" t="s">
        <v>339</v>
      </c>
      <c r="G6" s="9" t="s">
        <v>95</v>
      </c>
    </row>
    <row r="7" spans="1:7" ht="30" x14ac:dyDescent="0.25">
      <c r="A7" s="9"/>
      <c r="B7" s="9" t="s">
        <v>336</v>
      </c>
      <c r="C7" s="9" t="s">
        <v>137</v>
      </c>
      <c r="D7" s="9" t="s">
        <v>107</v>
      </c>
      <c r="E7" s="4"/>
      <c r="F7" s="7" t="s">
        <v>340</v>
      </c>
      <c r="G7" s="4"/>
    </row>
    <row r="8" spans="1:7" ht="16.5" x14ac:dyDescent="0.25">
      <c r="A8" s="9"/>
      <c r="B8" s="9" t="s">
        <v>79</v>
      </c>
      <c r="C8" s="9" t="s">
        <v>80</v>
      </c>
      <c r="D8" s="9" t="s">
        <v>107</v>
      </c>
      <c r="E8" s="17">
        <v>1</v>
      </c>
      <c r="F8" t="s">
        <v>337</v>
      </c>
      <c r="G8" s="4"/>
    </row>
    <row r="9" spans="1:7" ht="30" x14ac:dyDescent="0.25">
      <c r="A9" s="9"/>
      <c r="B9" s="9" t="s">
        <v>97</v>
      </c>
      <c r="C9" s="9" t="s">
        <v>82</v>
      </c>
      <c r="D9" s="9" t="s">
        <v>107</v>
      </c>
      <c r="E9" s="4" t="s">
        <v>83</v>
      </c>
      <c r="F9" s="7" t="s">
        <v>281</v>
      </c>
      <c r="G9" s="4"/>
    </row>
    <row r="10" spans="1:7" ht="45" x14ac:dyDescent="0.25">
      <c r="A10" s="9"/>
      <c r="B10" s="9" t="s">
        <v>202</v>
      </c>
      <c r="C10" s="9" t="s">
        <v>82</v>
      </c>
      <c r="D10" s="9" t="s">
        <v>108</v>
      </c>
      <c r="E10" s="4"/>
      <c r="F10" s="7" t="s">
        <v>341</v>
      </c>
      <c r="G10" s="4"/>
    </row>
  </sheetData>
  <mergeCells count="2">
    <mergeCell ref="B1:G1"/>
    <mergeCell ref="B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"/>
  <sheetViews>
    <sheetView zoomScale="115" zoomScaleNormal="115" workbookViewId="0"/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92.42578125" customWidth="1"/>
    <col min="7" max="7" width="35.140625" customWidth="1"/>
  </cols>
  <sheetData>
    <row r="1" spans="1:7" ht="18.75" x14ac:dyDescent="0.3">
      <c r="A1" s="1" t="s">
        <v>106</v>
      </c>
      <c r="B1" s="33" t="s">
        <v>552</v>
      </c>
      <c r="C1" s="33"/>
      <c r="D1" s="33"/>
      <c r="E1" s="33"/>
      <c r="F1" s="33"/>
      <c r="G1" s="33"/>
    </row>
    <row r="2" spans="1:7" ht="54" customHeight="1" x14ac:dyDescent="0.3">
      <c r="A2" s="2" t="s">
        <v>0</v>
      </c>
      <c r="B2" s="38" t="s">
        <v>548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33" x14ac:dyDescent="0.25">
      <c r="A4" s="15" t="s">
        <v>72</v>
      </c>
      <c r="B4" s="15" t="s">
        <v>345</v>
      </c>
      <c r="C4" s="15" t="s">
        <v>123</v>
      </c>
      <c r="D4" s="15" t="s">
        <v>107</v>
      </c>
      <c r="E4" s="4" t="s">
        <v>71</v>
      </c>
      <c r="F4" s="9" t="s">
        <v>346</v>
      </c>
      <c r="G4" s="4"/>
    </row>
    <row r="5" spans="1:7" ht="33" x14ac:dyDescent="0.25">
      <c r="A5" s="15" t="s">
        <v>94</v>
      </c>
      <c r="B5" s="15" t="s">
        <v>122</v>
      </c>
      <c r="C5" s="15" t="s">
        <v>132</v>
      </c>
      <c r="D5" s="15" t="s">
        <v>107</v>
      </c>
      <c r="E5" s="4"/>
      <c r="F5" s="9" t="s">
        <v>347</v>
      </c>
      <c r="G5" s="15" t="s">
        <v>133</v>
      </c>
    </row>
    <row r="6" spans="1:7" ht="33" x14ac:dyDescent="0.25">
      <c r="A6" s="15" t="s">
        <v>94</v>
      </c>
      <c r="B6" s="15" t="s">
        <v>348</v>
      </c>
      <c r="C6" s="15" t="s">
        <v>93</v>
      </c>
      <c r="D6" s="15" t="s">
        <v>108</v>
      </c>
      <c r="E6" s="4"/>
      <c r="F6" s="9" t="s">
        <v>349</v>
      </c>
      <c r="G6" s="15" t="s">
        <v>130</v>
      </c>
    </row>
    <row r="7" spans="1:7" ht="33" x14ac:dyDescent="0.25">
      <c r="A7" s="15" t="s">
        <v>94</v>
      </c>
      <c r="B7" s="15" t="s">
        <v>350</v>
      </c>
      <c r="C7" s="15" t="s">
        <v>93</v>
      </c>
      <c r="D7" s="15" t="s">
        <v>107</v>
      </c>
      <c r="E7" s="4"/>
      <c r="F7" s="9" t="s">
        <v>351</v>
      </c>
      <c r="G7" s="15" t="s">
        <v>130</v>
      </c>
    </row>
    <row r="8" spans="1:7" ht="33" x14ac:dyDescent="0.25">
      <c r="A8" s="15"/>
      <c r="B8" s="15" t="s">
        <v>134</v>
      </c>
      <c r="C8" s="15" t="s">
        <v>352</v>
      </c>
      <c r="D8" s="15" t="s">
        <v>108</v>
      </c>
      <c r="E8" s="4"/>
      <c r="F8" s="9" t="s">
        <v>353</v>
      </c>
      <c r="G8" s="15"/>
    </row>
    <row r="9" spans="1:7" ht="33" x14ac:dyDescent="0.25">
      <c r="A9" s="15" t="s">
        <v>94</v>
      </c>
      <c r="B9" s="15" t="s">
        <v>354</v>
      </c>
      <c r="C9" s="15" t="s">
        <v>93</v>
      </c>
      <c r="D9" s="15" t="s">
        <v>107</v>
      </c>
      <c r="E9" s="4"/>
      <c r="F9" s="9" t="s">
        <v>355</v>
      </c>
      <c r="G9" s="15" t="s">
        <v>95</v>
      </c>
    </row>
    <row r="10" spans="1:7" ht="33" x14ac:dyDescent="0.25">
      <c r="A10" s="15"/>
      <c r="B10" s="15" t="s">
        <v>136</v>
      </c>
      <c r="C10" s="15" t="s">
        <v>82</v>
      </c>
      <c r="D10" s="15" t="s">
        <v>107</v>
      </c>
      <c r="E10" s="4" t="s">
        <v>83</v>
      </c>
      <c r="F10" s="9" t="s">
        <v>356</v>
      </c>
      <c r="G10" s="4"/>
    </row>
  </sheetData>
  <mergeCells count="2">
    <mergeCell ref="B1:G1"/>
    <mergeCell ref="B2:G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zoomScaleNormal="100" workbookViewId="0">
      <selection activeCell="B1" sqref="B1:G1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35.85546875" customWidth="1"/>
    <col min="7" max="7" width="36.140625" customWidth="1"/>
  </cols>
  <sheetData>
    <row r="1" spans="1:7" ht="18.75" x14ac:dyDescent="0.3">
      <c r="A1" s="1" t="s">
        <v>106</v>
      </c>
      <c r="B1" s="33" t="s">
        <v>553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378</v>
      </c>
      <c r="C2" s="37"/>
      <c r="D2" s="37"/>
      <c r="E2" s="37"/>
      <c r="F2" s="37"/>
      <c r="G2" s="37"/>
    </row>
    <row r="3" spans="1:7" ht="15.75" x14ac:dyDescent="0.25">
      <c r="A3" s="12" t="s">
        <v>67</v>
      </c>
      <c r="B3" s="12" t="s">
        <v>63</v>
      </c>
      <c r="C3" s="12" t="s">
        <v>64</v>
      </c>
      <c r="D3" s="12" t="s">
        <v>65</v>
      </c>
      <c r="E3" s="12" t="s">
        <v>66</v>
      </c>
      <c r="F3" s="12" t="s">
        <v>0</v>
      </c>
      <c r="G3" s="12" t="s">
        <v>68</v>
      </c>
    </row>
    <row r="4" spans="1:7" ht="33" x14ac:dyDescent="0.25">
      <c r="A4" s="9" t="s">
        <v>72</v>
      </c>
      <c r="B4" s="9" t="s">
        <v>366</v>
      </c>
      <c r="C4" s="9" t="s">
        <v>123</v>
      </c>
      <c r="D4" s="9" t="s">
        <v>107</v>
      </c>
      <c r="E4" s="9" t="s">
        <v>71</v>
      </c>
      <c r="F4" s="9" t="s">
        <v>367</v>
      </c>
      <c r="G4" s="9"/>
    </row>
    <row r="5" spans="1:7" ht="33" x14ac:dyDescent="0.25">
      <c r="A5" s="9" t="s">
        <v>94</v>
      </c>
      <c r="B5" s="9" t="s">
        <v>122</v>
      </c>
      <c r="C5" s="9" t="s">
        <v>132</v>
      </c>
      <c r="D5" s="9" t="s">
        <v>107</v>
      </c>
      <c r="E5" s="9"/>
      <c r="F5" s="9" t="s">
        <v>368</v>
      </c>
      <c r="G5" s="9" t="s">
        <v>133</v>
      </c>
    </row>
    <row r="6" spans="1:7" ht="33" x14ac:dyDescent="0.25">
      <c r="A6" s="9" t="s">
        <v>94</v>
      </c>
      <c r="B6" s="9" t="s">
        <v>369</v>
      </c>
      <c r="C6" s="9" t="s">
        <v>93</v>
      </c>
      <c r="D6" s="9" t="s">
        <v>107</v>
      </c>
      <c r="E6" s="9"/>
      <c r="F6" s="9" t="s">
        <v>370</v>
      </c>
      <c r="G6" s="9" t="s">
        <v>95</v>
      </c>
    </row>
    <row r="7" spans="1:7" ht="49.5" x14ac:dyDescent="0.25">
      <c r="A7" s="9"/>
      <c r="B7" s="9" t="s">
        <v>371</v>
      </c>
      <c r="C7" s="9" t="s">
        <v>137</v>
      </c>
      <c r="D7" s="9" t="s">
        <v>107</v>
      </c>
      <c r="E7" s="9"/>
      <c r="F7" s="9" t="s">
        <v>372</v>
      </c>
      <c r="G7" s="9"/>
    </row>
    <row r="8" spans="1:7" ht="49.5" x14ac:dyDescent="0.25">
      <c r="A8" s="9"/>
      <c r="B8" s="9" t="s">
        <v>373</v>
      </c>
      <c r="C8" s="9" t="s">
        <v>112</v>
      </c>
      <c r="D8" s="9" t="s">
        <v>108</v>
      </c>
      <c r="E8" s="9"/>
      <c r="F8" s="9" t="s">
        <v>374</v>
      </c>
      <c r="G8" s="9"/>
    </row>
    <row r="9" spans="1:7" ht="33" x14ac:dyDescent="0.25">
      <c r="A9" s="9"/>
      <c r="B9" s="9" t="s">
        <v>375</v>
      </c>
      <c r="C9" s="9" t="s">
        <v>82</v>
      </c>
      <c r="D9" s="9" t="s">
        <v>107</v>
      </c>
      <c r="E9" s="9" t="s">
        <v>83</v>
      </c>
      <c r="F9" s="9" t="s">
        <v>376</v>
      </c>
      <c r="G9" s="9"/>
    </row>
  </sheetData>
  <mergeCells count="2">
    <mergeCell ref="B1:G1"/>
    <mergeCell ref="B2:G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"/>
  <sheetViews>
    <sheetView workbookViewId="0">
      <selection activeCell="B2" sqref="B2:G2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54" customWidth="1"/>
    <col min="7" max="7" width="26.140625" customWidth="1"/>
  </cols>
  <sheetData>
    <row r="1" spans="1:7" ht="18.75" x14ac:dyDescent="0.3">
      <c r="A1" s="1" t="s">
        <v>106</v>
      </c>
      <c r="B1" s="33" t="s">
        <v>554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380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x14ac:dyDescent="0.25">
      <c r="A4" s="13" t="s">
        <v>72</v>
      </c>
      <c r="B4" s="13" t="s">
        <v>382</v>
      </c>
      <c r="C4" s="13" t="s">
        <v>123</v>
      </c>
      <c r="D4" s="13" t="s">
        <v>107</v>
      </c>
      <c r="E4" s="13" t="s">
        <v>71</v>
      </c>
      <c r="F4" s="23" t="s">
        <v>383</v>
      </c>
      <c r="G4" s="13"/>
    </row>
    <row r="5" spans="1:7" ht="30" x14ac:dyDescent="0.25">
      <c r="A5" s="13" t="s">
        <v>94</v>
      </c>
      <c r="B5" s="13" t="s">
        <v>122</v>
      </c>
      <c r="C5" s="13" t="s">
        <v>132</v>
      </c>
      <c r="D5" s="13" t="s">
        <v>107</v>
      </c>
      <c r="E5" s="13"/>
      <c r="F5" s="23" t="s">
        <v>384</v>
      </c>
      <c r="G5" s="13" t="s">
        <v>133</v>
      </c>
    </row>
    <row r="6" spans="1:7" x14ac:dyDescent="0.25">
      <c r="A6" s="13" t="s">
        <v>94</v>
      </c>
      <c r="B6" s="13" t="s">
        <v>385</v>
      </c>
      <c r="C6" s="13" t="s">
        <v>93</v>
      </c>
      <c r="D6" s="13" t="s">
        <v>107</v>
      </c>
      <c r="E6" s="13"/>
      <c r="F6" s="23" t="s">
        <v>386</v>
      </c>
      <c r="G6" s="13" t="s">
        <v>95</v>
      </c>
    </row>
    <row r="7" spans="1:7" ht="30" x14ac:dyDescent="0.25">
      <c r="A7" s="13"/>
      <c r="B7" s="13" t="s">
        <v>134</v>
      </c>
      <c r="C7" s="13" t="s">
        <v>138</v>
      </c>
      <c r="D7" s="13" t="s">
        <v>107</v>
      </c>
      <c r="E7" s="13"/>
      <c r="F7" s="23" t="s">
        <v>387</v>
      </c>
      <c r="G7" s="13"/>
    </row>
    <row r="8" spans="1:7" ht="30" x14ac:dyDescent="0.25">
      <c r="A8" s="13"/>
      <c r="B8" s="13" t="s">
        <v>388</v>
      </c>
      <c r="C8" s="13" t="s">
        <v>80</v>
      </c>
      <c r="D8" s="13" t="s">
        <v>107</v>
      </c>
      <c r="E8" s="24">
        <v>0</v>
      </c>
      <c r="F8" s="23" t="s">
        <v>389</v>
      </c>
      <c r="G8" s="13"/>
    </row>
    <row r="9" spans="1:7" ht="30" x14ac:dyDescent="0.25">
      <c r="A9" s="13"/>
      <c r="B9" s="13" t="s">
        <v>139</v>
      </c>
      <c r="C9" s="13" t="s">
        <v>82</v>
      </c>
      <c r="D9" s="13" t="s">
        <v>107</v>
      </c>
      <c r="E9" s="13" t="s">
        <v>83</v>
      </c>
      <c r="F9" s="23" t="s">
        <v>390</v>
      </c>
      <c r="G9" s="13"/>
    </row>
  </sheetData>
  <mergeCells count="2">
    <mergeCell ref="B1:G1"/>
    <mergeCell ref="B2:G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5"/>
  <sheetViews>
    <sheetView zoomScaleNormal="100" workbookViewId="0">
      <selection activeCell="B1" sqref="B1:G1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4" bestFit="1" customWidth="1"/>
    <col min="4" max="4" width="21.85546875" customWidth="1"/>
    <col min="5" max="5" width="16.85546875" bestFit="1" customWidth="1"/>
    <col min="6" max="6" width="64.5703125" customWidth="1"/>
    <col min="7" max="7" width="17.7109375" bestFit="1" customWidth="1"/>
  </cols>
  <sheetData>
    <row r="1" spans="1:7" ht="18.75" x14ac:dyDescent="0.3">
      <c r="A1" s="1" t="s">
        <v>106</v>
      </c>
      <c r="B1" s="33" t="s">
        <v>555</v>
      </c>
      <c r="C1" s="33"/>
      <c r="D1" s="33"/>
      <c r="E1" s="33"/>
      <c r="F1" s="33"/>
      <c r="G1" s="33"/>
    </row>
    <row r="2" spans="1:7" ht="33" customHeight="1" x14ac:dyDescent="0.3">
      <c r="A2" s="2" t="s">
        <v>0</v>
      </c>
      <c r="B2" s="38" t="s">
        <v>395</v>
      </c>
      <c r="C2" s="38"/>
      <c r="D2" s="38"/>
      <c r="E2" s="38"/>
      <c r="F2" s="38"/>
      <c r="G2" s="38"/>
    </row>
    <row r="3" spans="1:7" ht="15.75" x14ac:dyDescent="0.25">
      <c r="A3" s="22" t="s">
        <v>67</v>
      </c>
      <c r="B3" s="22" t="s">
        <v>63</v>
      </c>
      <c r="C3" s="22" t="s">
        <v>64</v>
      </c>
      <c r="D3" s="22" t="s">
        <v>65</v>
      </c>
      <c r="E3" s="22" t="s">
        <v>66</v>
      </c>
      <c r="F3" s="22" t="s">
        <v>0</v>
      </c>
      <c r="G3" s="22" t="s">
        <v>68</v>
      </c>
    </row>
    <row r="4" spans="1:7" ht="45" x14ac:dyDescent="0.25">
      <c r="A4" s="10" t="s">
        <v>72</v>
      </c>
      <c r="B4" s="10" t="s">
        <v>396</v>
      </c>
      <c r="C4" s="10" t="s">
        <v>123</v>
      </c>
      <c r="D4" s="10" t="s">
        <v>107</v>
      </c>
      <c r="E4" s="10" t="s">
        <v>71</v>
      </c>
      <c r="F4" s="10" t="s">
        <v>397</v>
      </c>
      <c r="G4" s="10"/>
    </row>
    <row r="5" spans="1:7" ht="45" x14ac:dyDescent="0.25">
      <c r="A5" s="10" t="s">
        <v>94</v>
      </c>
      <c r="B5" s="10" t="s">
        <v>122</v>
      </c>
      <c r="C5" s="10" t="s">
        <v>132</v>
      </c>
      <c r="D5" s="10" t="s">
        <v>107</v>
      </c>
      <c r="E5" s="10"/>
      <c r="F5" s="10" t="s">
        <v>398</v>
      </c>
      <c r="G5" s="10" t="s">
        <v>133</v>
      </c>
    </row>
    <row r="6" spans="1:7" ht="45" x14ac:dyDescent="0.25">
      <c r="A6" s="10"/>
      <c r="B6" s="10" t="s">
        <v>140</v>
      </c>
      <c r="C6" s="10" t="s">
        <v>105</v>
      </c>
      <c r="D6" s="10" t="s">
        <v>107</v>
      </c>
      <c r="E6" s="10"/>
      <c r="F6" s="10" t="s">
        <v>399</v>
      </c>
      <c r="G6" s="10"/>
    </row>
    <row r="7" spans="1:7" ht="30" x14ac:dyDescent="0.25">
      <c r="A7" s="10"/>
      <c r="B7" s="10" t="s">
        <v>141</v>
      </c>
      <c r="C7" s="10" t="s">
        <v>78</v>
      </c>
      <c r="D7" s="10" t="s">
        <v>107</v>
      </c>
      <c r="E7" s="10"/>
      <c r="F7" s="10" t="s">
        <v>400</v>
      </c>
      <c r="G7" s="10"/>
    </row>
    <row r="8" spans="1:7" ht="45" x14ac:dyDescent="0.25">
      <c r="A8" s="10"/>
      <c r="B8" s="10" t="s">
        <v>401</v>
      </c>
      <c r="C8" s="10" t="s">
        <v>91</v>
      </c>
      <c r="D8" s="10" t="s">
        <v>108</v>
      </c>
      <c r="E8" s="10"/>
      <c r="F8" s="10" t="s">
        <v>402</v>
      </c>
      <c r="G8" s="10"/>
    </row>
    <row r="9" spans="1:7" ht="30" x14ac:dyDescent="0.25">
      <c r="A9" s="10"/>
      <c r="B9" s="10" t="s">
        <v>143</v>
      </c>
      <c r="C9" s="10" t="s">
        <v>132</v>
      </c>
      <c r="D9" s="10" t="s">
        <v>108</v>
      </c>
      <c r="E9" s="10"/>
      <c r="F9" s="10" t="s">
        <v>403</v>
      </c>
      <c r="G9" s="10" t="s">
        <v>95</v>
      </c>
    </row>
    <row r="10" spans="1:7" ht="30" x14ac:dyDescent="0.25">
      <c r="A10" s="10" t="s">
        <v>94</v>
      </c>
      <c r="B10" s="10" t="s">
        <v>144</v>
      </c>
      <c r="C10" s="10" t="s">
        <v>93</v>
      </c>
      <c r="D10" s="10" t="s">
        <v>107</v>
      </c>
      <c r="E10" s="10"/>
      <c r="F10" s="10" t="s">
        <v>404</v>
      </c>
      <c r="G10" s="10"/>
    </row>
    <row r="11" spans="1:7" ht="45" x14ac:dyDescent="0.25">
      <c r="A11" s="10"/>
      <c r="B11" s="10" t="s">
        <v>145</v>
      </c>
      <c r="C11" s="10" t="s">
        <v>82</v>
      </c>
      <c r="D11" s="10" t="s">
        <v>107</v>
      </c>
      <c r="E11" s="10" t="s">
        <v>83</v>
      </c>
      <c r="F11" s="10" t="s">
        <v>405</v>
      </c>
      <c r="G11" s="10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</row>
    <row r="19" spans="1:7" x14ac:dyDescent="0.25">
      <c r="A19" s="5"/>
      <c r="B19" s="5"/>
      <c r="C19" s="5"/>
      <c r="D19" s="5"/>
      <c r="E19" s="5"/>
      <c r="F19" s="5"/>
    </row>
    <row r="20" spans="1:7" x14ac:dyDescent="0.25">
      <c r="A20" s="5"/>
      <c r="B20" s="5"/>
      <c r="C20" s="5"/>
      <c r="D20" s="5"/>
      <c r="E20" s="5"/>
      <c r="F20" s="5"/>
    </row>
    <row r="21" spans="1:7" x14ac:dyDescent="0.25">
      <c r="A21" s="5"/>
      <c r="B21" s="5"/>
      <c r="C21" s="5"/>
      <c r="D21" s="5"/>
      <c r="E21" s="5"/>
      <c r="F21" s="5"/>
    </row>
    <row r="22" spans="1:7" x14ac:dyDescent="0.25">
      <c r="A22" s="5"/>
      <c r="B22" s="5"/>
      <c r="C22" s="5"/>
      <c r="D22" s="5"/>
      <c r="E22" s="5"/>
      <c r="F22" s="5"/>
    </row>
    <row r="23" spans="1:7" x14ac:dyDescent="0.25">
      <c r="A23" s="5"/>
      <c r="B23" s="5"/>
      <c r="C23" s="5"/>
      <c r="D23" s="5"/>
      <c r="E23" s="5"/>
      <c r="F23" s="5"/>
    </row>
    <row r="24" spans="1:7" x14ac:dyDescent="0.25">
      <c r="A24" s="5"/>
      <c r="B24" s="5"/>
      <c r="C24" s="5"/>
      <c r="D24" s="5"/>
      <c r="E24" s="5"/>
      <c r="F24" s="5"/>
    </row>
    <row r="25" spans="1:7" x14ac:dyDescent="0.25">
      <c r="A25" s="5"/>
      <c r="B25" s="5"/>
      <c r="C25" s="5"/>
      <c r="D25" s="5"/>
      <c r="E25" s="5"/>
      <c r="F25" s="5"/>
    </row>
  </sheetData>
  <mergeCells count="2">
    <mergeCell ref="B1:G1"/>
    <mergeCell ref="B2:G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1"/>
  <sheetViews>
    <sheetView topLeftCell="D1" zoomScale="85" zoomScaleNormal="85" workbookViewId="0">
      <selection activeCell="G5" sqref="G5:G6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69.5703125" customWidth="1"/>
    <col min="7" max="7" width="26.7109375" customWidth="1"/>
  </cols>
  <sheetData>
    <row r="1" spans="1:7" ht="18.75" x14ac:dyDescent="0.3">
      <c r="A1" s="1" t="s">
        <v>106</v>
      </c>
      <c r="B1" s="33" t="s">
        <v>304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406</v>
      </c>
      <c r="C2" s="37"/>
      <c r="D2" s="37"/>
      <c r="E2" s="37"/>
      <c r="F2" s="37"/>
      <c r="G2" s="37"/>
    </row>
    <row r="3" spans="1:7" ht="15.75" x14ac:dyDescent="0.25">
      <c r="A3" s="21" t="s">
        <v>67</v>
      </c>
      <c r="B3" s="21" t="s">
        <v>63</v>
      </c>
      <c r="C3" s="21" t="s">
        <v>64</v>
      </c>
      <c r="D3" s="21" t="s">
        <v>65</v>
      </c>
      <c r="E3" s="21" t="s">
        <v>66</v>
      </c>
      <c r="F3" s="21" t="s">
        <v>0</v>
      </c>
      <c r="G3" s="21" t="s">
        <v>68</v>
      </c>
    </row>
    <row r="4" spans="1:7" ht="49.5" x14ac:dyDescent="0.25">
      <c r="A4" s="7" t="s">
        <v>72</v>
      </c>
      <c r="B4" s="7" t="s">
        <v>146</v>
      </c>
      <c r="C4" s="7" t="s">
        <v>123</v>
      </c>
      <c r="D4" s="7" t="s">
        <v>107</v>
      </c>
      <c r="E4" s="7" t="s">
        <v>71</v>
      </c>
      <c r="F4" s="9" t="s">
        <v>408</v>
      </c>
      <c r="G4" s="7"/>
    </row>
    <row r="5" spans="1:7" ht="33" x14ac:dyDescent="0.25">
      <c r="A5" s="7" t="s">
        <v>94</v>
      </c>
      <c r="B5" s="7" t="s">
        <v>84</v>
      </c>
      <c r="C5" s="7" t="s">
        <v>93</v>
      </c>
      <c r="D5" s="7" t="s">
        <v>107</v>
      </c>
      <c r="E5" s="7"/>
      <c r="F5" s="9" t="s">
        <v>409</v>
      </c>
      <c r="G5" s="7" t="s">
        <v>95</v>
      </c>
    </row>
    <row r="6" spans="1:7" ht="33" x14ac:dyDescent="0.25">
      <c r="A6" s="7" t="s">
        <v>94</v>
      </c>
      <c r="B6" s="7" t="s">
        <v>122</v>
      </c>
      <c r="C6" s="7" t="s">
        <v>132</v>
      </c>
      <c r="D6" s="7" t="s">
        <v>108</v>
      </c>
      <c r="E6" s="7"/>
      <c r="F6" s="9" t="s">
        <v>410</v>
      </c>
      <c r="G6" s="7" t="s">
        <v>133</v>
      </c>
    </row>
    <row r="7" spans="1:7" ht="33" x14ac:dyDescent="0.25">
      <c r="A7" s="7"/>
      <c r="B7" s="7" t="s">
        <v>125</v>
      </c>
      <c r="C7" s="7" t="s">
        <v>126</v>
      </c>
      <c r="D7" s="7" t="s">
        <v>107</v>
      </c>
      <c r="E7" s="7"/>
      <c r="F7" s="9" t="s">
        <v>411</v>
      </c>
      <c r="G7" s="7"/>
    </row>
    <row r="8" spans="1:7" ht="49.5" x14ac:dyDescent="0.25">
      <c r="A8" s="7"/>
      <c r="B8" s="7" t="s">
        <v>147</v>
      </c>
      <c r="C8" s="7" t="s">
        <v>135</v>
      </c>
      <c r="D8" s="7" t="s">
        <v>107</v>
      </c>
      <c r="E8" s="7"/>
      <c r="F8" s="9" t="s">
        <v>412</v>
      </c>
      <c r="G8" s="7"/>
    </row>
    <row r="9" spans="1:7" ht="33" x14ac:dyDescent="0.25">
      <c r="A9" s="7"/>
      <c r="B9" s="7" t="s">
        <v>148</v>
      </c>
      <c r="C9" s="7" t="s">
        <v>80</v>
      </c>
      <c r="D9" s="7" t="s">
        <v>107</v>
      </c>
      <c r="E9" s="25">
        <v>0</v>
      </c>
      <c r="F9" s="9" t="s">
        <v>413</v>
      </c>
      <c r="G9" s="7"/>
    </row>
    <row r="10" spans="1:7" ht="33" x14ac:dyDescent="0.25">
      <c r="A10" s="7"/>
      <c r="B10" s="9" t="s">
        <v>81</v>
      </c>
      <c r="C10" s="9" t="s">
        <v>82</v>
      </c>
      <c r="D10" s="9" t="s">
        <v>107</v>
      </c>
      <c r="E10" s="9" t="s">
        <v>83</v>
      </c>
      <c r="F10" s="9" t="s">
        <v>414</v>
      </c>
      <c r="G10" s="7"/>
    </row>
    <row r="11" spans="1:7" ht="33" x14ac:dyDescent="0.25">
      <c r="A11" s="7"/>
      <c r="B11" s="9" t="s">
        <v>415</v>
      </c>
      <c r="C11" s="9" t="s">
        <v>82</v>
      </c>
      <c r="D11" s="9" t="s">
        <v>108</v>
      </c>
      <c r="E11" s="9"/>
      <c r="F11" s="9" t="s">
        <v>416</v>
      </c>
      <c r="G11" s="7"/>
    </row>
  </sheetData>
  <mergeCells count="2">
    <mergeCell ref="B1:G1"/>
    <mergeCell ref="B2:G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4"/>
  <sheetViews>
    <sheetView zoomScale="115" zoomScaleNormal="115" workbookViewId="0">
      <selection activeCell="C10" sqref="C10"/>
    </sheetView>
  </sheetViews>
  <sheetFormatPr baseColWidth="10" defaultColWidth="9" defaultRowHeight="15" x14ac:dyDescent="0.25"/>
  <cols>
    <col min="1" max="1" width="24.85546875" bestFit="1" customWidth="1"/>
    <col min="2" max="2" width="25.140625" bestFit="1" customWidth="1"/>
    <col min="3" max="3" width="17.85546875" bestFit="1" customWidth="1"/>
    <col min="4" max="4" width="21.85546875" customWidth="1"/>
    <col min="5" max="5" width="17.5703125" bestFit="1" customWidth="1"/>
    <col min="6" max="6" width="58.28515625" customWidth="1"/>
    <col min="7" max="7" width="26.140625" customWidth="1"/>
    <col min="8" max="8" width="41.140625" customWidth="1"/>
  </cols>
  <sheetData>
    <row r="1" spans="1:7" ht="18.75" x14ac:dyDescent="0.3">
      <c r="A1" s="1" t="s">
        <v>106</v>
      </c>
      <c r="B1" s="33" t="s">
        <v>305</v>
      </c>
      <c r="C1" s="33"/>
      <c r="D1" s="33"/>
      <c r="E1" s="33"/>
      <c r="F1" s="33"/>
      <c r="G1" s="33"/>
    </row>
    <row r="2" spans="1:7" ht="37.5" customHeight="1" x14ac:dyDescent="0.3">
      <c r="A2" s="2" t="s">
        <v>0</v>
      </c>
      <c r="B2" s="39" t="s">
        <v>417</v>
      </c>
      <c r="C2" s="39"/>
      <c r="D2" s="39"/>
      <c r="E2" s="39"/>
      <c r="F2" s="39"/>
      <c r="G2" s="39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5" x14ac:dyDescent="0.25">
      <c r="A4" s="26" t="s">
        <v>162</v>
      </c>
      <c r="B4" s="26" t="s">
        <v>84</v>
      </c>
      <c r="C4" s="26" t="s">
        <v>93</v>
      </c>
      <c r="D4" s="26" t="s">
        <v>107</v>
      </c>
      <c r="E4" s="26"/>
      <c r="F4" s="5" t="s">
        <v>418</v>
      </c>
      <c r="G4" s="26" t="s">
        <v>95</v>
      </c>
    </row>
    <row r="5" spans="1:7" ht="45" x14ac:dyDescent="0.25">
      <c r="A5" s="4" t="s">
        <v>74</v>
      </c>
      <c r="B5" s="4" t="s">
        <v>149</v>
      </c>
      <c r="C5" s="4" t="s">
        <v>118</v>
      </c>
      <c r="D5" s="4" t="s">
        <v>107</v>
      </c>
      <c r="E5" s="4"/>
      <c r="F5" s="7" t="s">
        <v>419</v>
      </c>
      <c r="G5" s="4"/>
    </row>
    <row r="6" spans="1:7" ht="45" x14ac:dyDescent="0.25">
      <c r="A6" s="4"/>
      <c r="B6" s="4" t="s">
        <v>150</v>
      </c>
      <c r="C6" s="4" t="s">
        <v>151</v>
      </c>
      <c r="D6" s="4" t="s">
        <v>107</v>
      </c>
      <c r="E6" s="4"/>
      <c r="F6" s="7" t="s">
        <v>420</v>
      </c>
      <c r="G6" s="4"/>
    </row>
    <row r="7" spans="1:7" ht="45" x14ac:dyDescent="0.25">
      <c r="A7" s="4"/>
      <c r="B7" s="4" t="s">
        <v>152</v>
      </c>
      <c r="C7" s="4" t="s">
        <v>153</v>
      </c>
      <c r="D7" s="4" t="s">
        <v>107</v>
      </c>
      <c r="E7" s="4"/>
      <c r="F7" s="7" t="s">
        <v>421</v>
      </c>
      <c r="G7" s="4"/>
    </row>
    <row r="8" spans="1:7" ht="45" x14ac:dyDescent="0.25">
      <c r="A8" s="4"/>
      <c r="B8" s="4" t="s">
        <v>154</v>
      </c>
      <c r="C8" s="4" t="s">
        <v>104</v>
      </c>
      <c r="D8" s="4" t="s">
        <v>107</v>
      </c>
      <c r="E8" s="4" t="s">
        <v>163</v>
      </c>
      <c r="F8" s="7" t="s">
        <v>422</v>
      </c>
      <c r="G8" s="4"/>
    </row>
    <row r="9" spans="1:7" ht="45" x14ac:dyDescent="0.25">
      <c r="A9" s="4"/>
      <c r="B9" s="4" t="s">
        <v>155</v>
      </c>
      <c r="C9" s="4" t="s">
        <v>93</v>
      </c>
      <c r="D9" s="4" t="s">
        <v>107</v>
      </c>
      <c r="E9" s="4" t="s">
        <v>164</v>
      </c>
      <c r="F9" s="7" t="s">
        <v>423</v>
      </c>
      <c r="G9" s="4"/>
    </row>
    <row r="10" spans="1:7" ht="45" x14ac:dyDescent="0.25">
      <c r="A10" s="4"/>
      <c r="B10" s="4" t="s">
        <v>156</v>
      </c>
      <c r="C10" s="4" t="s">
        <v>82</v>
      </c>
      <c r="D10" s="4" t="s">
        <v>108</v>
      </c>
      <c r="E10" s="4"/>
      <c r="F10" s="7" t="s">
        <v>424</v>
      </c>
      <c r="G10" s="4"/>
    </row>
    <row r="11" spans="1:7" ht="45" x14ac:dyDescent="0.25">
      <c r="A11" s="4"/>
      <c r="B11" s="4" t="s">
        <v>157</v>
      </c>
      <c r="C11" s="4" t="s">
        <v>158</v>
      </c>
      <c r="D11" s="4" t="s">
        <v>107</v>
      </c>
      <c r="E11" s="4" t="s">
        <v>165</v>
      </c>
      <c r="F11" s="7" t="s">
        <v>425</v>
      </c>
      <c r="G11" s="4"/>
    </row>
    <row r="12" spans="1:7" ht="45" x14ac:dyDescent="0.25">
      <c r="A12" s="4"/>
      <c r="B12" s="4" t="s">
        <v>159</v>
      </c>
      <c r="C12" s="4" t="s">
        <v>82</v>
      </c>
      <c r="D12" s="4" t="s">
        <v>108</v>
      </c>
      <c r="E12" s="4"/>
      <c r="F12" s="7" t="s">
        <v>426</v>
      </c>
      <c r="G12" s="4"/>
    </row>
    <row r="13" spans="1:7" ht="30" x14ac:dyDescent="0.25">
      <c r="A13" s="4"/>
      <c r="B13" s="4" t="s">
        <v>160</v>
      </c>
      <c r="C13" s="4" t="s">
        <v>80</v>
      </c>
      <c r="D13" s="4" t="s">
        <v>107</v>
      </c>
      <c r="E13" s="4" t="s">
        <v>165</v>
      </c>
      <c r="F13" s="7" t="s">
        <v>427</v>
      </c>
      <c r="G13" s="4"/>
    </row>
    <row r="14" spans="1:7" ht="45" x14ac:dyDescent="0.25">
      <c r="A14" s="4"/>
      <c r="B14" s="4" t="s">
        <v>161</v>
      </c>
      <c r="C14" s="4" t="s">
        <v>82</v>
      </c>
      <c r="D14" s="4" t="s">
        <v>107</v>
      </c>
      <c r="E14" s="4" t="s">
        <v>83</v>
      </c>
      <c r="F14" s="7" t="s">
        <v>428</v>
      </c>
      <c r="G14" s="4"/>
    </row>
  </sheetData>
  <mergeCells count="2">
    <mergeCell ref="B1:G1"/>
    <mergeCell ref="B2:G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1"/>
  <sheetViews>
    <sheetView topLeftCell="B1" zoomScaleNormal="100" workbookViewId="0">
      <selection activeCell="B3" sqref="B3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0" bestFit="1" customWidth="1"/>
    <col min="4" max="4" width="21.85546875" customWidth="1"/>
    <col min="5" max="5" width="11.85546875" customWidth="1"/>
    <col min="6" max="6" width="66.28515625" customWidth="1"/>
    <col min="7" max="7" width="19.85546875" customWidth="1"/>
  </cols>
  <sheetData>
    <row r="1" spans="1:7" ht="18.75" x14ac:dyDescent="0.3">
      <c r="A1" s="1" t="s">
        <v>106</v>
      </c>
      <c r="B1" s="33" t="s">
        <v>306</v>
      </c>
      <c r="C1" s="33"/>
      <c r="D1" s="33"/>
      <c r="E1" s="33"/>
      <c r="F1" s="33"/>
      <c r="G1" s="33"/>
    </row>
    <row r="2" spans="1:7" ht="40.5" customHeight="1" x14ac:dyDescent="0.3">
      <c r="A2" s="2" t="s">
        <v>0</v>
      </c>
      <c r="B2" s="38" t="s">
        <v>437</v>
      </c>
      <c r="C2" s="38"/>
      <c r="D2" s="38"/>
      <c r="E2" s="38"/>
      <c r="F2" s="38"/>
      <c r="G2" s="38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27" t="s">
        <v>68</v>
      </c>
    </row>
    <row r="4" spans="1:7" ht="49.5" x14ac:dyDescent="0.25">
      <c r="A4" s="4" t="s">
        <v>72</v>
      </c>
      <c r="B4" s="4" t="s">
        <v>166</v>
      </c>
      <c r="C4" s="4" t="s">
        <v>70</v>
      </c>
      <c r="D4" s="4" t="s">
        <v>107</v>
      </c>
      <c r="E4" s="4" t="s">
        <v>71</v>
      </c>
      <c r="F4" s="9" t="s">
        <v>429</v>
      </c>
      <c r="G4" s="14"/>
    </row>
    <row r="5" spans="1:7" ht="49.5" x14ac:dyDescent="0.25">
      <c r="A5" s="4" t="s">
        <v>74</v>
      </c>
      <c r="B5" s="4" t="s">
        <v>73</v>
      </c>
      <c r="C5" s="4" t="s">
        <v>167</v>
      </c>
      <c r="D5" s="4" t="s">
        <v>107</v>
      </c>
      <c r="E5" s="4"/>
      <c r="F5" s="9" t="s">
        <v>430</v>
      </c>
      <c r="G5" s="14"/>
    </row>
    <row r="6" spans="1:7" ht="49.5" x14ac:dyDescent="0.25">
      <c r="A6" s="4"/>
      <c r="B6" s="4" t="s">
        <v>75</v>
      </c>
      <c r="C6" s="4" t="s">
        <v>91</v>
      </c>
      <c r="D6" s="4" t="s">
        <v>107</v>
      </c>
      <c r="E6" s="4"/>
      <c r="F6" s="9" t="s">
        <v>431</v>
      </c>
      <c r="G6" s="14"/>
    </row>
    <row r="7" spans="1:7" ht="49.5" x14ac:dyDescent="0.25">
      <c r="A7" s="4"/>
      <c r="B7" s="4" t="s">
        <v>168</v>
      </c>
      <c r="C7" s="4" t="s">
        <v>126</v>
      </c>
      <c r="D7" s="4" t="s">
        <v>107</v>
      </c>
      <c r="E7" s="4"/>
      <c r="F7" s="9" t="s">
        <v>432</v>
      </c>
      <c r="G7" s="14"/>
    </row>
    <row r="8" spans="1:7" ht="49.5" x14ac:dyDescent="0.25">
      <c r="A8" s="4"/>
      <c r="B8" s="4" t="s">
        <v>169</v>
      </c>
      <c r="C8" s="4" t="s">
        <v>118</v>
      </c>
      <c r="D8" s="4" t="s">
        <v>108</v>
      </c>
      <c r="E8" s="4"/>
      <c r="F8" s="9" t="s">
        <v>433</v>
      </c>
      <c r="G8" s="14"/>
    </row>
    <row r="9" spans="1:7" ht="49.5" x14ac:dyDescent="0.25">
      <c r="A9" s="4"/>
      <c r="B9" s="4" t="s">
        <v>119</v>
      </c>
      <c r="C9" s="4" t="s">
        <v>93</v>
      </c>
      <c r="D9" s="4" t="s">
        <v>107</v>
      </c>
      <c r="E9" s="4"/>
      <c r="F9" s="9" t="s">
        <v>434</v>
      </c>
      <c r="G9" s="14"/>
    </row>
    <row r="10" spans="1:7" ht="49.5" x14ac:dyDescent="0.25">
      <c r="A10" s="4"/>
      <c r="B10" s="4" t="s">
        <v>103</v>
      </c>
      <c r="C10" s="4" t="s">
        <v>80</v>
      </c>
      <c r="D10" s="4" t="s">
        <v>107</v>
      </c>
      <c r="E10" s="17">
        <v>1</v>
      </c>
      <c r="F10" s="9" t="s">
        <v>435</v>
      </c>
      <c r="G10" s="31"/>
    </row>
    <row r="11" spans="1:7" ht="49.5" x14ac:dyDescent="0.25">
      <c r="A11" s="4" t="s">
        <v>94</v>
      </c>
      <c r="B11" s="4" t="s">
        <v>170</v>
      </c>
      <c r="C11" s="4" t="s">
        <v>93</v>
      </c>
      <c r="D11" s="4" t="s">
        <v>108</v>
      </c>
      <c r="E11" s="4"/>
      <c r="F11" s="30" t="s">
        <v>436</v>
      </c>
      <c r="G11" s="13" t="s">
        <v>171</v>
      </c>
    </row>
  </sheetData>
  <mergeCells count="2">
    <mergeCell ref="B1:G1"/>
    <mergeCell ref="B2:G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"/>
  <sheetViews>
    <sheetView topLeftCell="C1" zoomScaleNormal="100" workbookViewId="0">
      <selection activeCell="B3" sqref="B3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0" bestFit="1" customWidth="1"/>
    <col min="4" max="4" width="21.85546875" customWidth="1"/>
    <col min="5" max="5" width="11.85546875" customWidth="1"/>
    <col min="6" max="6" width="64.85546875" customWidth="1"/>
    <col min="7" max="7" width="34.28515625" customWidth="1"/>
  </cols>
  <sheetData>
    <row r="1" spans="1:7" ht="18.75" x14ac:dyDescent="0.3">
      <c r="A1" s="1" t="s">
        <v>106</v>
      </c>
      <c r="B1" s="33" t="s">
        <v>307</v>
      </c>
      <c r="C1" s="33"/>
      <c r="D1" s="33"/>
      <c r="E1" s="33"/>
      <c r="F1" s="33"/>
      <c r="G1" s="33"/>
    </row>
    <row r="2" spans="1:7" ht="40.5" customHeight="1" x14ac:dyDescent="0.3">
      <c r="A2" s="2" t="s">
        <v>0</v>
      </c>
      <c r="B2" s="38" t="s">
        <v>446</v>
      </c>
      <c r="C2" s="38"/>
      <c r="D2" s="38"/>
      <c r="E2" s="38"/>
      <c r="F2" s="38"/>
      <c r="G2" s="38"/>
    </row>
    <row r="3" spans="1:7" ht="15.75" x14ac:dyDescent="0.25">
      <c r="A3" s="3" t="s">
        <v>67</v>
      </c>
      <c r="B3" s="21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60" x14ac:dyDescent="0.25">
      <c r="A4" s="4" t="s">
        <v>72</v>
      </c>
      <c r="B4" s="4" t="s">
        <v>172</v>
      </c>
      <c r="C4" s="4" t="s">
        <v>70</v>
      </c>
      <c r="D4" s="4" t="s">
        <v>107</v>
      </c>
      <c r="E4" s="4" t="s">
        <v>71</v>
      </c>
      <c r="F4" s="7" t="s">
        <v>438</v>
      </c>
      <c r="G4" s="4"/>
    </row>
    <row r="5" spans="1:7" ht="60" x14ac:dyDescent="0.25">
      <c r="A5" s="4" t="s">
        <v>94</v>
      </c>
      <c r="B5" s="4" t="s">
        <v>69</v>
      </c>
      <c r="C5" s="4" t="s">
        <v>93</v>
      </c>
      <c r="D5" s="4" t="s">
        <v>107</v>
      </c>
      <c r="E5" s="4"/>
      <c r="F5" s="7" t="s">
        <v>439</v>
      </c>
      <c r="G5" s="4" t="s">
        <v>444</v>
      </c>
    </row>
    <row r="6" spans="1:7" ht="45" x14ac:dyDescent="0.25">
      <c r="A6" s="4" t="s">
        <v>94</v>
      </c>
      <c r="B6" s="4" t="s">
        <v>166</v>
      </c>
      <c r="C6" s="4" t="s">
        <v>93</v>
      </c>
      <c r="D6" s="4" t="s">
        <v>107</v>
      </c>
      <c r="E6" s="4"/>
      <c r="F6" s="7" t="s">
        <v>440</v>
      </c>
      <c r="G6" s="4" t="s">
        <v>445</v>
      </c>
    </row>
    <row r="7" spans="1:7" ht="45" x14ac:dyDescent="0.25">
      <c r="A7" s="4"/>
      <c r="B7" s="4" t="s">
        <v>173</v>
      </c>
      <c r="C7" s="4" t="s">
        <v>80</v>
      </c>
      <c r="D7" s="4" t="s">
        <v>107</v>
      </c>
      <c r="E7" s="17">
        <v>1</v>
      </c>
      <c r="F7" s="7" t="s">
        <v>441</v>
      </c>
      <c r="G7" s="4"/>
    </row>
    <row r="8" spans="1:7" ht="60" x14ac:dyDescent="0.25">
      <c r="A8" s="4"/>
      <c r="B8" s="4" t="s">
        <v>174</v>
      </c>
      <c r="C8" s="4" t="s">
        <v>80</v>
      </c>
      <c r="D8" s="4" t="s">
        <v>107</v>
      </c>
      <c r="E8" s="17">
        <v>0</v>
      </c>
      <c r="F8" s="7" t="s">
        <v>442</v>
      </c>
      <c r="G8" s="4"/>
    </row>
    <row r="9" spans="1:7" ht="45" x14ac:dyDescent="0.25">
      <c r="A9" s="4"/>
      <c r="B9" s="4" t="s">
        <v>175</v>
      </c>
      <c r="C9" s="4" t="s">
        <v>80</v>
      </c>
      <c r="D9" s="4" t="s">
        <v>107</v>
      </c>
      <c r="E9" s="17">
        <v>0</v>
      </c>
      <c r="F9" s="7" t="s">
        <v>443</v>
      </c>
      <c r="G9" s="4"/>
    </row>
  </sheetData>
  <mergeCells count="2">
    <mergeCell ref="B1:G1"/>
    <mergeCell ref="B2:G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"/>
  <sheetViews>
    <sheetView workbookViewId="0">
      <selection activeCell="D4" sqref="D4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0" bestFit="1" customWidth="1"/>
    <col min="4" max="4" width="21.85546875" customWidth="1"/>
    <col min="5" max="5" width="13.42578125" bestFit="1" customWidth="1"/>
    <col min="6" max="6" width="67" customWidth="1"/>
    <col min="7" max="7" width="32.28515625" customWidth="1"/>
  </cols>
  <sheetData>
    <row r="1" spans="1:7" ht="18.75" x14ac:dyDescent="0.3">
      <c r="A1" s="1" t="s">
        <v>106</v>
      </c>
      <c r="B1" s="33" t="s">
        <v>308</v>
      </c>
      <c r="C1" s="33"/>
      <c r="D1" s="33"/>
      <c r="E1" s="33"/>
      <c r="F1" s="33"/>
      <c r="G1" s="33"/>
    </row>
    <row r="2" spans="1:7" s="5" customFormat="1" ht="57.75" customHeight="1" x14ac:dyDescent="0.3">
      <c r="A2" s="28" t="s">
        <v>0</v>
      </c>
      <c r="B2" s="38" t="s">
        <v>447</v>
      </c>
      <c r="C2" s="38"/>
      <c r="D2" s="38"/>
      <c r="E2" s="38"/>
      <c r="F2" s="38"/>
      <c r="G2" s="38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60" x14ac:dyDescent="0.25">
      <c r="A4" s="4" t="s">
        <v>72</v>
      </c>
      <c r="B4" s="4" t="s">
        <v>176</v>
      </c>
      <c r="C4" s="4" t="s">
        <v>70</v>
      </c>
      <c r="D4" s="4" t="s">
        <v>107</v>
      </c>
      <c r="E4" s="4" t="s">
        <v>177</v>
      </c>
      <c r="F4" s="7" t="s">
        <v>448</v>
      </c>
      <c r="G4" s="4"/>
    </row>
    <row r="5" spans="1:7" ht="60" x14ac:dyDescent="0.25">
      <c r="A5" s="4" t="s">
        <v>74</v>
      </c>
      <c r="B5" s="4" t="s">
        <v>73</v>
      </c>
      <c r="C5" s="4" t="s">
        <v>104</v>
      </c>
      <c r="D5" s="4" t="s">
        <v>107</v>
      </c>
      <c r="E5" s="4"/>
      <c r="F5" s="7" t="s">
        <v>449</v>
      </c>
      <c r="G5" s="4"/>
    </row>
    <row r="6" spans="1:7" ht="45" x14ac:dyDescent="0.25">
      <c r="A6" s="4"/>
      <c r="B6" s="4" t="s">
        <v>75</v>
      </c>
      <c r="C6" s="4" t="s">
        <v>118</v>
      </c>
      <c r="D6" s="4" t="s">
        <v>107</v>
      </c>
      <c r="E6" s="4"/>
      <c r="F6" s="7" t="s">
        <v>450</v>
      </c>
      <c r="G6" s="4"/>
    </row>
    <row r="7" spans="1:7" ht="45" x14ac:dyDescent="0.25">
      <c r="A7" s="4"/>
      <c r="B7" s="4" t="s">
        <v>103</v>
      </c>
      <c r="C7" s="4" t="s">
        <v>80</v>
      </c>
      <c r="D7" s="4" t="s">
        <v>107</v>
      </c>
      <c r="E7" s="17">
        <v>1</v>
      </c>
      <c r="F7" s="7" t="s">
        <v>451</v>
      </c>
      <c r="G7" s="4"/>
    </row>
  </sheetData>
  <mergeCells count="2">
    <mergeCell ref="B1:G1"/>
    <mergeCell ref="B2:G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1"/>
  <sheetViews>
    <sheetView workbookViewId="0"/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73.28515625" customWidth="1"/>
    <col min="7" max="7" width="54.85546875" customWidth="1"/>
  </cols>
  <sheetData>
    <row r="1" spans="1:7" ht="18.75" x14ac:dyDescent="0.3">
      <c r="A1" s="1" t="s">
        <v>106</v>
      </c>
      <c r="B1" s="33" t="s">
        <v>309</v>
      </c>
      <c r="C1" s="33"/>
      <c r="D1" s="33"/>
      <c r="E1" s="33"/>
      <c r="F1" s="33"/>
      <c r="G1" s="33"/>
    </row>
    <row r="2" spans="1:7" ht="24" customHeight="1" x14ac:dyDescent="0.3">
      <c r="A2" s="2" t="s">
        <v>0</v>
      </c>
      <c r="B2" s="37" t="s">
        <v>452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5" x14ac:dyDescent="0.25">
      <c r="A4" s="4" t="s">
        <v>72</v>
      </c>
      <c r="B4" s="4" t="s">
        <v>178</v>
      </c>
      <c r="C4" s="4" t="s">
        <v>123</v>
      </c>
      <c r="D4" s="4" t="s">
        <v>107</v>
      </c>
      <c r="E4" s="4" t="s">
        <v>71</v>
      </c>
      <c r="F4" s="7" t="s">
        <v>453</v>
      </c>
      <c r="G4" s="4"/>
    </row>
    <row r="5" spans="1:7" ht="45" x14ac:dyDescent="0.25">
      <c r="A5" s="4" t="s">
        <v>185</v>
      </c>
      <c r="B5" s="4" t="s">
        <v>122</v>
      </c>
      <c r="C5" s="4" t="s">
        <v>132</v>
      </c>
      <c r="D5" s="4" t="s">
        <v>107</v>
      </c>
      <c r="E5" s="4"/>
      <c r="F5" s="7" t="s">
        <v>454</v>
      </c>
      <c r="G5" s="4" t="s">
        <v>133</v>
      </c>
    </row>
    <row r="6" spans="1:7" ht="45" x14ac:dyDescent="0.25">
      <c r="A6" s="4" t="s">
        <v>94</v>
      </c>
      <c r="B6" s="4" t="s">
        <v>176</v>
      </c>
      <c r="C6" s="4" t="s">
        <v>93</v>
      </c>
      <c r="D6" s="4" t="s">
        <v>107</v>
      </c>
      <c r="E6" s="4"/>
      <c r="F6" s="7" t="s">
        <v>455</v>
      </c>
      <c r="G6" s="4" t="s">
        <v>186</v>
      </c>
    </row>
    <row r="7" spans="1:7" ht="45" x14ac:dyDescent="0.25">
      <c r="A7" s="4"/>
      <c r="B7" s="4" t="s">
        <v>179</v>
      </c>
      <c r="C7" s="4" t="s">
        <v>118</v>
      </c>
      <c r="D7" s="4" t="s">
        <v>108</v>
      </c>
      <c r="E7" s="4"/>
      <c r="F7" s="7" t="s">
        <v>456</v>
      </c>
      <c r="G7" s="4"/>
    </row>
    <row r="8" spans="1:7" ht="45" x14ac:dyDescent="0.25">
      <c r="A8" s="4"/>
      <c r="B8" s="4" t="s">
        <v>180</v>
      </c>
      <c r="C8" s="4" t="s">
        <v>181</v>
      </c>
      <c r="D8" s="4" t="s">
        <v>108</v>
      </c>
      <c r="E8" s="4"/>
      <c r="F8" s="7" t="s">
        <v>457</v>
      </c>
      <c r="G8" s="4"/>
    </row>
    <row r="9" spans="1:7" ht="45" x14ac:dyDescent="0.25">
      <c r="A9" s="4"/>
      <c r="B9" s="4" t="s">
        <v>182</v>
      </c>
      <c r="C9" s="4" t="s">
        <v>135</v>
      </c>
      <c r="D9" s="4" t="s">
        <v>108</v>
      </c>
      <c r="E9" s="4"/>
      <c r="F9" s="7" t="s">
        <v>458</v>
      </c>
      <c r="G9" s="4"/>
    </row>
    <row r="10" spans="1:7" ht="45" x14ac:dyDescent="0.25">
      <c r="A10" s="4"/>
      <c r="B10" s="4" t="s">
        <v>183</v>
      </c>
      <c r="C10" s="4" t="s">
        <v>138</v>
      </c>
      <c r="D10" s="4" t="s">
        <v>108</v>
      </c>
      <c r="E10" s="4"/>
      <c r="F10" s="7" t="s">
        <v>459</v>
      </c>
      <c r="G10" s="4"/>
    </row>
    <row r="11" spans="1:7" ht="45" x14ac:dyDescent="0.25">
      <c r="A11" s="4"/>
      <c r="B11" s="4" t="s">
        <v>184</v>
      </c>
      <c r="C11" s="4" t="s">
        <v>82</v>
      </c>
      <c r="D11" s="4" t="s">
        <v>107</v>
      </c>
      <c r="E11" s="4" t="s">
        <v>83</v>
      </c>
      <c r="F11" s="7" t="s">
        <v>460</v>
      </c>
      <c r="G11" s="4"/>
    </row>
  </sheetData>
  <mergeCells count="2">
    <mergeCell ref="B1:G1"/>
    <mergeCell ref="B2:G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4"/>
  <sheetViews>
    <sheetView topLeftCell="D1" workbookViewId="0">
      <selection activeCell="F15" sqref="F15"/>
    </sheetView>
  </sheetViews>
  <sheetFormatPr baseColWidth="10" defaultColWidth="9" defaultRowHeight="15" x14ac:dyDescent="0.25"/>
  <cols>
    <col min="1" max="1" width="31.85546875" customWidth="1"/>
    <col min="2" max="2" width="30.140625" bestFit="1" customWidth="1"/>
    <col min="3" max="3" width="24" bestFit="1" customWidth="1"/>
    <col min="4" max="4" width="21.85546875" customWidth="1"/>
    <col min="5" max="5" width="17.5703125" bestFit="1" customWidth="1"/>
    <col min="6" max="6" width="64.28515625" customWidth="1"/>
    <col min="7" max="7" width="17.7109375" bestFit="1" customWidth="1"/>
  </cols>
  <sheetData>
    <row r="1" spans="1:7" ht="18.75" x14ac:dyDescent="0.3">
      <c r="A1" s="1" t="s">
        <v>106</v>
      </c>
      <c r="B1" s="33" t="s">
        <v>310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461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5" x14ac:dyDescent="0.25">
      <c r="A4" s="4" t="s">
        <v>72</v>
      </c>
      <c r="B4" s="4" t="s">
        <v>187</v>
      </c>
      <c r="C4" s="4" t="s">
        <v>123</v>
      </c>
      <c r="D4" s="4" t="s">
        <v>107</v>
      </c>
      <c r="E4" s="4" t="s">
        <v>71</v>
      </c>
      <c r="F4" s="7" t="s">
        <v>462</v>
      </c>
      <c r="G4" s="4"/>
    </row>
    <row r="5" spans="1:7" ht="45" x14ac:dyDescent="0.25">
      <c r="A5" s="4" t="s">
        <v>185</v>
      </c>
      <c r="B5" s="4" t="s">
        <v>122</v>
      </c>
      <c r="C5" s="4" t="s">
        <v>132</v>
      </c>
      <c r="D5" s="4" t="s">
        <v>107</v>
      </c>
      <c r="E5" s="4"/>
      <c r="F5" s="7" t="s">
        <v>463</v>
      </c>
      <c r="G5" s="4" t="s">
        <v>133</v>
      </c>
    </row>
    <row r="6" spans="1:7" ht="45" x14ac:dyDescent="0.25">
      <c r="A6" s="4"/>
      <c r="B6" s="4" t="s">
        <v>188</v>
      </c>
      <c r="C6" s="4" t="s">
        <v>138</v>
      </c>
      <c r="D6" s="4" t="s">
        <v>108</v>
      </c>
      <c r="E6" s="4"/>
      <c r="F6" s="7" t="s">
        <v>464</v>
      </c>
      <c r="G6" s="4"/>
    </row>
    <row r="7" spans="1:7" ht="45" x14ac:dyDescent="0.25">
      <c r="A7" s="4"/>
      <c r="B7" s="4" t="s">
        <v>189</v>
      </c>
      <c r="C7" s="4" t="s">
        <v>138</v>
      </c>
      <c r="D7" s="4" t="s">
        <v>108</v>
      </c>
      <c r="E7" s="4"/>
      <c r="F7" s="7" t="s">
        <v>465</v>
      </c>
      <c r="G7" s="4"/>
    </row>
    <row r="8" spans="1:7" ht="45" x14ac:dyDescent="0.25">
      <c r="A8" s="4"/>
      <c r="B8" s="4" t="s">
        <v>190</v>
      </c>
      <c r="C8" s="4" t="s">
        <v>138</v>
      </c>
      <c r="D8" s="4" t="s">
        <v>108</v>
      </c>
      <c r="E8" s="4"/>
      <c r="F8" s="7" t="s">
        <v>466</v>
      </c>
      <c r="G8" s="4"/>
    </row>
    <row r="9" spans="1:7" ht="45" x14ac:dyDescent="0.25">
      <c r="A9" s="4"/>
      <c r="B9" s="4" t="s">
        <v>191</v>
      </c>
      <c r="C9" s="4" t="s">
        <v>138</v>
      </c>
      <c r="D9" s="4" t="s">
        <v>108</v>
      </c>
      <c r="E9" s="4"/>
      <c r="F9" s="7" t="s">
        <v>467</v>
      </c>
      <c r="G9" s="4"/>
    </row>
    <row r="10" spans="1:7" ht="45" x14ac:dyDescent="0.25">
      <c r="A10" s="4"/>
      <c r="B10" s="4" t="s">
        <v>192</v>
      </c>
      <c r="C10" s="4" t="s">
        <v>138</v>
      </c>
      <c r="D10" s="4" t="s">
        <v>108</v>
      </c>
      <c r="E10" s="4"/>
      <c r="F10" s="7" t="s">
        <v>468</v>
      </c>
      <c r="G10" s="4"/>
    </row>
    <row r="11" spans="1:7" ht="45" x14ac:dyDescent="0.25">
      <c r="A11" s="4"/>
      <c r="B11" s="4" t="s">
        <v>193</v>
      </c>
      <c r="C11" s="4" t="s">
        <v>138</v>
      </c>
      <c r="D11" s="4" t="s">
        <v>108</v>
      </c>
      <c r="E11" s="4"/>
      <c r="F11" s="7" t="s">
        <v>469</v>
      </c>
      <c r="G11" s="4"/>
    </row>
    <row r="12" spans="1:7" ht="45" x14ac:dyDescent="0.25">
      <c r="A12" s="4"/>
      <c r="B12" s="4" t="s">
        <v>194</v>
      </c>
      <c r="C12" s="4" t="s">
        <v>138</v>
      </c>
      <c r="D12" s="4" t="s">
        <v>108</v>
      </c>
      <c r="E12" s="4"/>
      <c r="F12" s="7" t="s">
        <v>470</v>
      </c>
      <c r="G12" s="4"/>
    </row>
    <row r="13" spans="1:7" ht="45.75" thickBot="1" x14ac:dyDescent="0.3">
      <c r="A13" s="4" t="s">
        <v>94</v>
      </c>
      <c r="B13" s="4" t="s">
        <v>195</v>
      </c>
      <c r="C13" s="4" t="s">
        <v>93</v>
      </c>
      <c r="D13" s="4" t="s">
        <v>107</v>
      </c>
      <c r="E13" s="4"/>
      <c r="F13" s="7" t="s">
        <v>471</v>
      </c>
      <c r="G13" s="4" t="s">
        <v>95</v>
      </c>
    </row>
    <row r="14" spans="1:7" ht="50.25" thickBot="1" x14ac:dyDescent="0.3">
      <c r="A14" s="4"/>
      <c r="B14" s="4" t="s">
        <v>196</v>
      </c>
      <c r="C14" s="4" t="s">
        <v>82</v>
      </c>
      <c r="D14" s="4" t="s">
        <v>107</v>
      </c>
      <c r="E14" s="4" t="s">
        <v>83</v>
      </c>
      <c r="F14" s="29" t="s">
        <v>472</v>
      </c>
      <c r="G14" s="4"/>
    </row>
  </sheetData>
  <mergeCells count="2">
    <mergeCell ref="B1:G1"/>
    <mergeCell ref="B2:G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4"/>
  <sheetViews>
    <sheetView workbookViewId="0"/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1.85546875" customWidth="1"/>
    <col min="6" max="6" width="61" customWidth="1"/>
    <col min="7" max="7" width="32.7109375" customWidth="1"/>
  </cols>
  <sheetData>
    <row r="1" spans="1:7" ht="18.75" x14ac:dyDescent="0.3">
      <c r="A1" s="1" t="s">
        <v>106</v>
      </c>
      <c r="B1" s="33" t="s">
        <v>311</v>
      </c>
      <c r="C1" s="33"/>
      <c r="D1" s="33"/>
      <c r="E1" s="33"/>
      <c r="F1" s="33"/>
      <c r="G1" s="33"/>
    </row>
    <row r="2" spans="1:7" ht="75.75" customHeight="1" x14ac:dyDescent="0.3">
      <c r="A2" s="2" t="s">
        <v>0</v>
      </c>
      <c r="B2" s="38" t="s">
        <v>473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5" x14ac:dyDescent="0.25">
      <c r="A4" s="4" t="s">
        <v>72</v>
      </c>
      <c r="B4" s="4" t="s">
        <v>197</v>
      </c>
      <c r="C4" s="4" t="s">
        <v>123</v>
      </c>
      <c r="D4" s="4" t="s">
        <v>107</v>
      </c>
      <c r="E4" s="4" t="s">
        <v>71</v>
      </c>
      <c r="F4" s="7" t="s">
        <v>474</v>
      </c>
      <c r="G4" s="4"/>
    </row>
    <row r="5" spans="1:7" ht="45" x14ac:dyDescent="0.25">
      <c r="A5" s="4" t="s">
        <v>94</v>
      </c>
      <c r="B5" s="4" t="s">
        <v>122</v>
      </c>
      <c r="C5" s="4" t="s">
        <v>132</v>
      </c>
      <c r="D5" s="4" t="s">
        <v>107</v>
      </c>
      <c r="E5" s="4"/>
      <c r="F5" s="7" t="s">
        <v>475</v>
      </c>
      <c r="G5" s="4" t="s">
        <v>133</v>
      </c>
    </row>
    <row r="6" spans="1:7" ht="45" x14ac:dyDescent="0.25">
      <c r="A6" s="4"/>
      <c r="B6" s="4" t="s">
        <v>125</v>
      </c>
      <c r="C6" s="4" t="s">
        <v>126</v>
      </c>
      <c r="D6" s="4" t="s">
        <v>107</v>
      </c>
      <c r="E6" s="4"/>
      <c r="F6" s="7" t="s">
        <v>476</v>
      </c>
      <c r="G6" s="4"/>
    </row>
    <row r="7" spans="1:7" ht="45" x14ac:dyDescent="0.25">
      <c r="A7" s="4"/>
      <c r="B7" s="4" t="s">
        <v>77</v>
      </c>
      <c r="C7" s="4" t="s">
        <v>138</v>
      </c>
      <c r="D7" s="4" t="s">
        <v>108</v>
      </c>
      <c r="E7" s="4"/>
      <c r="F7" s="7" t="s">
        <v>477</v>
      </c>
      <c r="G7" s="4"/>
    </row>
    <row r="8" spans="1:7" ht="45" x14ac:dyDescent="0.25">
      <c r="A8" s="4" t="s">
        <v>94</v>
      </c>
      <c r="B8" s="4" t="s">
        <v>117</v>
      </c>
      <c r="C8" s="4" t="s">
        <v>93</v>
      </c>
      <c r="D8" s="4" t="s">
        <v>107</v>
      </c>
      <c r="E8" s="4"/>
      <c r="F8" s="7" t="s">
        <v>478</v>
      </c>
      <c r="G8" s="4" t="s">
        <v>129</v>
      </c>
    </row>
    <row r="9" spans="1:7" ht="45" x14ac:dyDescent="0.25">
      <c r="A9" s="4"/>
      <c r="B9" s="4" t="s">
        <v>198</v>
      </c>
      <c r="C9" s="4" t="s">
        <v>104</v>
      </c>
      <c r="D9" s="4" t="s">
        <v>107</v>
      </c>
      <c r="E9" s="4"/>
      <c r="F9" s="7" t="s">
        <v>479</v>
      </c>
      <c r="G9" s="4"/>
    </row>
    <row r="10" spans="1:7" ht="45" x14ac:dyDescent="0.25">
      <c r="A10" s="4"/>
      <c r="B10" s="4" t="s">
        <v>199</v>
      </c>
      <c r="C10" s="4" t="s">
        <v>82</v>
      </c>
      <c r="D10" s="4" t="s">
        <v>108</v>
      </c>
      <c r="E10" s="4"/>
      <c r="F10" s="7" t="s">
        <v>480</v>
      </c>
      <c r="G10" s="4"/>
    </row>
    <row r="11" spans="1:7" ht="45" x14ac:dyDescent="0.25">
      <c r="A11" s="4"/>
      <c r="B11" s="4" t="s">
        <v>200</v>
      </c>
      <c r="C11" s="4" t="s">
        <v>82</v>
      </c>
      <c r="D11" s="4" t="s">
        <v>108</v>
      </c>
      <c r="E11" s="4"/>
      <c r="F11" s="7" t="s">
        <v>481</v>
      </c>
      <c r="G11" s="4"/>
    </row>
    <row r="12" spans="1:7" ht="45" x14ac:dyDescent="0.25">
      <c r="A12" s="4"/>
      <c r="B12" s="4" t="s">
        <v>201</v>
      </c>
      <c r="C12" s="4" t="s">
        <v>82</v>
      </c>
      <c r="D12" s="4" t="s">
        <v>108</v>
      </c>
      <c r="E12" s="4"/>
      <c r="F12" s="7" t="s">
        <v>482</v>
      </c>
      <c r="G12" s="4"/>
    </row>
    <row r="13" spans="1:7" ht="45" x14ac:dyDescent="0.25">
      <c r="A13" s="4" t="s">
        <v>94</v>
      </c>
      <c r="B13" s="4" t="s">
        <v>127</v>
      </c>
      <c r="C13" s="4" t="s">
        <v>93</v>
      </c>
      <c r="D13" s="4" t="s">
        <v>107</v>
      </c>
      <c r="E13" s="4"/>
      <c r="F13" s="7" t="s">
        <v>483</v>
      </c>
      <c r="G13" s="4" t="s">
        <v>95</v>
      </c>
    </row>
    <row r="14" spans="1:7" ht="45" x14ac:dyDescent="0.25">
      <c r="A14" s="4"/>
      <c r="B14" s="4" t="s">
        <v>79</v>
      </c>
      <c r="C14" s="4" t="s">
        <v>80</v>
      </c>
      <c r="D14" s="4" t="s">
        <v>107</v>
      </c>
      <c r="E14" s="17">
        <v>1</v>
      </c>
      <c r="F14" s="7" t="s">
        <v>484</v>
      </c>
      <c r="G14" s="4"/>
    </row>
  </sheetData>
  <mergeCells count="2">
    <mergeCell ref="B1:G1"/>
    <mergeCell ref="B2:G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"/>
  <sheetViews>
    <sheetView zoomScaleNormal="100" workbookViewId="0">
      <selection activeCell="E16" sqref="E16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73" customWidth="1"/>
    <col min="7" max="7" width="34.85546875" customWidth="1"/>
  </cols>
  <sheetData>
    <row r="1" spans="1:7" ht="18.75" x14ac:dyDescent="0.3">
      <c r="A1" s="1" t="s">
        <v>106</v>
      </c>
      <c r="B1" s="33" t="s">
        <v>312</v>
      </c>
      <c r="C1" s="33"/>
      <c r="D1" s="33"/>
      <c r="E1" s="33"/>
      <c r="F1" s="33"/>
      <c r="G1" s="33"/>
    </row>
    <row r="2" spans="1:7" ht="67.5" customHeight="1" x14ac:dyDescent="0.3">
      <c r="A2" s="2" t="s">
        <v>0</v>
      </c>
      <c r="B2" s="38" t="s">
        <v>473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5" customHeight="1" x14ac:dyDescent="0.25">
      <c r="A4" s="4" t="s">
        <v>72</v>
      </c>
      <c r="B4" s="4" t="s">
        <v>570</v>
      </c>
      <c r="C4" s="4" t="s">
        <v>123</v>
      </c>
      <c r="D4" s="4" t="s">
        <v>107</v>
      </c>
      <c r="E4" s="4" t="s">
        <v>571</v>
      </c>
      <c r="F4" s="7" t="s">
        <v>572</v>
      </c>
      <c r="G4" s="4"/>
    </row>
    <row r="5" spans="1:7" ht="43.5" customHeight="1" x14ac:dyDescent="0.25">
      <c r="A5" s="4" t="s">
        <v>94</v>
      </c>
      <c r="B5" s="4" t="s">
        <v>197</v>
      </c>
      <c r="C5" s="4" t="s">
        <v>132</v>
      </c>
      <c r="D5" s="4" t="s">
        <v>107</v>
      </c>
      <c r="E5" s="4"/>
      <c r="F5" s="7" t="s">
        <v>573</v>
      </c>
      <c r="G5" s="4" t="s">
        <v>203</v>
      </c>
    </row>
    <row r="6" spans="1:7" ht="42.75" customHeight="1" x14ac:dyDescent="0.25">
      <c r="A6" s="4" t="s">
        <v>94</v>
      </c>
      <c r="B6" s="4" t="s">
        <v>84</v>
      </c>
      <c r="C6" s="4" t="s">
        <v>93</v>
      </c>
      <c r="D6" s="4" t="s">
        <v>107</v>
      </c>
      <c r="E6" s="4"/>
      <c r="F6" s="7" t="s">
        <v>574</v>
      </c>
      <c r="G6" s="4" t="s">
        <v>95</v>
      </c>
    </row>
    <row r="7" spans="1:7" ht="47.25" customHeight="1" x14ac:dyDescent="0.25">
      <c r="A7" s="4"/>
      <c r="B7" s="4" t="s">
        <v>575</v>
      </c>
      <c r="C7" s="4" t="s">
        <v>104</v>
      </c>
      <c r="D7" s="4" t="s">
        <v>107</v>
      </c>
      <c r="E7" s="4"/>
      <c r="F7" s="7" t="s">
        <v>576</v>
      </c>
      <c r="G7" s="4"/>
    </row>
    <row r="8" spans="1:7" ht="51" customHeight="1" x14ac:dyDescent="0.25">
      <c r="A8" s="4"/>
      <c r="B8" s="4" t="s">
        <v>103</v>
      </c>
      <c r="C8" s="4" t="s">
        <v>80</v>
      </c>
      <c r="D8" s="4" t="s">
        <v>107</v>
      </c>
      <c r="E8" s="4">
        <v>1</v>
      </c>
      <c r="F8" s="7" t="s">
        <v>577</v>
      </c>
      <c r="G8" s="4"/>
    </row>
    <row r="9" spans="1:7" ht="36.75" customHeight="1" x14ac:dyDescent="0.25">
      <c r="A9" s="4"/>
      <c r="B9" s="4" t="s">
        <v>97</v>
      </c>
      <c r="C9" s="4" t="s">
        <v>82</v>
      </c>
      <c r="D9" s="4" t="s">
        <v>107</v>
      </c>
      <c r="E9" s="4" t="s">
        <v>83</v>
      </c>
      <c r="F9" s="7" t="s">
        <v>578</v>
      </c>
      <c r="G9" s="4"/>
    </row>
    <row r="10" spans="1:7" ht="30" customHeight="1" x14ac:dyDescent="0.25">
      <c r="A10" s="4"/>
      <c r="B10" s="4" t="s">
        <v>202</v>
      </c>
      <c r="C10" s="4" t="s">
        <v>82</v>
      </c>
      <c r="D10" s="4" t="s">
        <v>108</v>
      </c>
      <c r="E10" s="4"/>
      <c r="F10" s="7" t="s">
        <v>579</v>
      </c>
      <c r="G10" s="4"/>
    </row>
  </sheetData>
  <mergeCells count="2">
    <mergeCell ref="B1:G1"/>
    <mergeCell ref="B2:G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3"/>
  <sheetViews>
    <sheetView topLeftCell="D1" workbookViewId="0">
      <selection activeCell="F14" sqref="F14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54.7109375" customWidth="1"/>
    <col min="7" max="7" width="33.7109375" customWidth="1"/>
  </cols>
  <sheetData>
    <row r="1" spans="1:7" ht="18.75" x14ac:dyDescent="0.3">
      <c r="A1" s="1" t="s">
        <v>106</v>
      </c>
      <c r="B1" s="33" t="s">
        <v>313</v>
      </c>
      <c r="C1" s="33"/>
      <c r="D1" s="33"/>
      <c r="E1" s="33"/>
      <c r="F1" s="33"/>
      <c r="G1" s="33"/>
    </row>
    <row r="2" spans="1:7" ht="70.5" customHeight="1" x14ac:dyDescent="0.3">
      <c r="A2" s="2" t="s">
        <v>0</v>
      </c>
      <c r="B2" s="38" t="s">
        <v>485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60" x14ac:dyDescent="0.25">
      <c r="A4" s="4" t="s">
        <v>72</v>
      </c>
      <c r="B4" s="4" t="s">
        <v>204</v>
      </c>
      <c r="C4" s="4" t="s">
        <v>123</v>
      </c>
      <c r="D4" s="4" t="s">
        <v>107</v>
      </c>
      <c r="E4" s="4" t="s">
        <v>71</v>
      </c>
      <c r="F4" s="7" t="s">
        <v>486</v>
      </c>
      <c r="G4" s="4"/>
    </row>
    <row r="5" spans="1:7" ht="60" x14ac:dyDescent="0.25">
      <c r="A5" s="4" t="s">
        <v>94</v>
      </c>
      <c r="B5" s="4" t="s">
        <v>122</v>
      </c>
      <c r="C5" s="4" t="s">
        <v>132</v>
      </c>
      <c r="D5" s="4" t="s">
        <v>108</v>
      </c>
      <c r="E5" s="4"/>
      <c r="F5" s="7" t="s">
        <v>487</v>
      </c>
      <c r="G5" s="4" t="s">
        <v>133</v>
      </c>
    </row>
    <row r="6" spans="1:7" ht="60" x14ac:dyDescent="0.25">
      <c r="A6" s="4" t="s">
        <v>94</v>
      </c>
      <c r="B6" s="4" t="s">
        <v>197</v>
      </c>
      <c r="C6" s="4" t="s">
        <v>132</v>
      </c>
      <c r="D6" s="4" t="s">
        <v>108</v>
      </c>
      <c r="E6" s="4"/>
      <c r="F6" s="7" t="s">
        <v>488</v>
      </c>
      <c r="G6" s="4" t="s">
        <v>203</v>
      </c>
    </row>
    <row r="7" spans="1:7" ht="45" x14ac:dyDescent="0.25">
      <c r="A7" s="4" t="s">
        <v>94</v>
      </c>
      <c r="B7" s="4" t="s">
        <v>84</v>
      </c>
      <c r="C7" s="4" t="s">
        <v>93</v>
      </c>
      <c r="D7" s="4" t="s">
        <v>107</v>
      </c>
      <c r="E7" s="4"/>
      <c r="F7" s="7" t="s">
        <v>489</v>
      </c>
      <c r="G7" s="4" t="s">
        <v>95</v>
      </c>
    </row>
    <row r="8" spans="1:7" ht="60" x14ac:dyDescent="0.25">
      <c r="A8" s="4"/>
      <c r="B8" s="4" t="s">
        <v>205</v>
      </c>
      <c r="C8" s="4" t="s">
        <v>101</v>
      </c>
      <c r="D8" s="4" t="s">
        <v>107</v>
      </c>
      <c r="E8" s="4"/>
      <c r="F8" s="7" t="s">
        <v>490</v>
      </c>
      <c r="G8" s="4"/>
    </row>
    <row r="9" spans="1:7" ht="45" x14ac:dyDescent="0.25">
      <c r="A9" s="4"/>
      <c r="B9" s="4" t="s">
        <v>125</v>
      </c>
      <c r="C9" s="4" t="s">
        <v>126</v>
      </c>
      <c r="D9" s="4" t="s">
        <v>107</v>
      </c>
      <c r="E9" s="4"/>
      <c r="F9" s="7" t="s">
        <v>491</v>
      </c>
      <c r="G9" s="4"/>
    </row>
    <row r="10" spans="1:7" ht="60" x14ac:dyDescent="0.25">
      <c r="A10" s="4"/>
      <c r="B10" s="4" t="s">
        <v>206</v>
      </c>
      <c r="C10" s="4" t="s">
        <v>138</v>
      </c>
      <c r="D10" s="4" t="s">
        <v>108</v>
      </c>
      <c r="E10" s="4"/>
      <c r="F10" s="7" t="s">
        <v>492</v>
      </c>
      <c r="G10" s="4"/>
    </row>
    <row r="11" spans="1:7" ht="60" x14ac:dyDescent="0.25">
      <c r="A11" s="4"/>
      <c r="B11" s="4" t="s">
        <v>207</v>
      </c>
      <c r="C11" s="4" t="s">
        <v>82</v>
      </c>
      <c r="D11" s="4" t="s">
        <v>107</v>
      </c>
      <c r="E11" s="4" t="s">
        <v>83</v>
      </c>
      <c r="F11" s="7" t="s">
        <v>493</v>
      </c>
      <c r="G11" s="4"/>
    </row>
    <row r="12" spans="1:7" ht="60" x14ac:dyDescent="0.25">
      <c r="A12" s="4"/>
      <c r="B12" s="4" t="s">
        <v>208</v>
      </c>
      <c r="C12" s="4" t="s">
        <v>80</v>
      </c>
      <c r="D12" s="4" t="s">
        <v>107</v>
      </c>
      <c r="E12" s="17">
        <v>1</v>
      </c>
      <c r="F12" s="7" t="s">
        <v>494</v>
      </c>
      <c r="G12" s="4"/>
    </row>
    <row r="13" spans="1:7" ht="60" x14ac:dyDescent="0.25">
      <c r="A13" s="4"/>
      <c r="B13" s="4" t="s">
        <v>209</v>
      </c>
      <c r="C13" s="4" t="s">
        <v>80</v>
      </c>
      <c r="D13" s="4" t="s">
        <v>107</v>
      </c>
      <c r="E13" s="17">
        <v>1</v>
      </c>
      <c r="F13" s="7" t="s">
        <v>495</v>
      </c>
      <c r="G13" s="4"/>
    </row>
  </sheetData>
  <mergeCells count="2">
    <mergeCell ref="B1:G1"/>
    <mergeCell ref="B2:G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3"/>
  <sheetViews>
    <sheetView workbookViewId="0">
      <selection activeCell="B3" sqref="B3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1.85546875" customWidth="1"/>
    <col min="6" max="6" width="61.140625" customWidth="1"/>
    <col min="7" max="7" width="27.7109375" customWidth="1"/>
  </cols>
  <sheetData>
    <row r="1" spans="1:7" ht="18.75" x14ac:dyDescent="0.3">
      <c r="A1" s="1" t="s">
        <v>106</v>
      </c>
      <c r="B1" s="33" t="s">
        <v>51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8" t="s">
        <v>550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5" x14ac:dyDescent="0.25">
      <c r="A4" s="4" t="s">
        <v>72</v>
      </c>
      <c r="B4" s="4" t="s">
        <v>210</v>
      </c>
      <c r="C4" s="4" t="s">
        <v>123</v>
      </c>
      <c r="D4" s="4" t="s">
        <v>107</v>
      </c>
      <c r="E4" s="4" t="s">
        <v>71</v>
      </c>
      <c r="F4" s="7" t="s">
        <v>496</v>
      </c>
      <c r="G4" s="4"/>
    </row>
    <row r="5" spans="1:7" ht="45" x14ac:dyDescent="0.25">
      <c r="A5" s="4" t="s">
        <v>74</v>
      </c>
      <c r="B5" s="4" t="s">
        <v>73</v>
      </c>
      <c r="C5" s="4" t="s">
        <v>101</v>
      </c>
      <c r="D5" s="4" t="s">
        <v>107</v>
      </c>
      <c r="E5" s="4"/>
      <c r="F5" s="7" t="s">
        <v>497</v>
      </c>
      <c r="G5" s="4"/>
    </row>
    <row r="6" spans="1:7" ht="45" x14ac:dyDescent="0.25">
      <c r="A6" s="4"/>
      <c r="B6" s="4" t="s">
        <v>75</v>
      </c>
      <c r="C6" s="4" t="s">
        <v>181</v>
      </c>
      <c r="D6" s="4" t="s">
        <v>107</v>
      </c>
      <c r="E6" s="4"/>
      <c r="F6" s="7" t="s">
        <v>498</v>
      </c>
      <c r="G6" s="4"/>
    </row>
    <row r="7" spans="1:7" ht="45" x14ac:dyDescent="0.25">
      <c r="A7" s="4"/>
      <c r="B7" s="4" t="s">
        <v>77</v>
      </c>
      <c r="C7" s="4" t="s">
        <v>135</v>
      </c>
      <c r="D7" s="4" t="s">
        <v>108</v>
      </c>
      <c r="E7" s="4"/>
      <c r="F7" s="7" t="s">
        <v>499</v>
      </c>
      <c r="G7" s="4"/>
    </row>
    <row r="8" spans="1:7" ht="45" x14ac:dyDescent="0.25">
      <c r="A8" s="4"/>
      <c r="B8" s="4" t="s">
        <v>211</v>
      </c>
      <c r="C8" s="4" t="s">
        <v>104</v>
      </c>
      <c r="D8" s="4" t="s">
        <v>107</v>
      </c>
      <c r="E8" s="4"/>
      <c r="F8" s="7" t="s">
        <v>500</v>
      </c>
      <c r="G8" s="4"/>
    </row>
    <row r="9" spans="1:7" ht="45" x14ac:dyDescent="0.25">
      <c r="A9" s="4"/>
      <c r="B9" s="4" t="s">
        <v>199</v>
      </c>
      <c r="C9" s="4" t="s">
        <v>212</v>
      </c>
      <c r="D9" s="4" t="s">
        <v>108</v>
      </c>
      <c r="E9" s="4"/>
      <c r="F9" s="7" t="s">
        <v>501</v>
      </c>
      <c r="G9" s="4"/>
    </row>
    <row r="10" spans="1:7" ht="30" x14ac:dyDescent="0.25">
      <c r="A10" s="4"/>
      <c r="B10" s="4" t="s">
        <v>213</v>
      </c>
      <c r="C10" s="4" t="s">
        <v>212</v>
      </c>
      <c r="D10" s="4" t="s">
        <v>108</v>
      </c>
      <c r="E10" s="4"/>
      <c r="F10" s="7" t="s">
        <v>502</v>
      </c>
      <c r="G10" s="4"/>
    </row>
    <row r="11" spans="1:7" ht="30" x14ac:dyDescent="0.25">
      <c r="A11" s="4"/>
      <c r="B11" s="4" t="s">
        <v>214</v>
      </c>
      <c r="C11" s="4" t="s">
        <v>212</v>
      </c>
      <c r="D11" s="4" t="s">
        <v>108</v>
      </c>
      <c r="E11" s="4"/>
      <c r="F11" s="7" t="s">
        <v>503</v>
      </c>
      <c r="G11" s="4"/>
    </row>
    <row r="12" spans="1:7" ht="45" x14ac:dyDescent="0.25">
      <c r="A12" s="4" t="s">
        <v>94</v>
      </c>
      <c r="B12" s="4" t="s">
        <v>215</v>
      </c>
      <c r="C12" s="4" t="s">
        <v>93</v>
      </c>
      <c r="D12" s="4" t="s">
        <v>107</v>
      </c>
      <c r="E12" s="4"/>
      <c r="F12" s="7" t="s">
        <v>504</v>
      </c>
      <c r="G12" s="4" t="s">
        <v>95</v>
      </c>
    </row>
    <row r="13" spans="1:7" ht="45" x14ac:dyDescent="0.25">
      <c r="A13" s="4"/>
      <c r="B13" s="4" t="s">
        <v>79</v>
      </c>
      <c r="C13" s="4" t="s">
        <v>80</v>
      </c>
      <c r="D13" s="4" t="s">
        <v>107</v>
      </c>
      <c r="E13" s="17">
        <v>1</v>
      </c>
      <c r="F13" s="7" t="s">
        <v>505</v>
      </c>
      <c r="G13" s="4"/>
    </row>
  </sheetData>
  <mergeCells count="2">
    <mergeCell ref="B1:G1"/>
    <mergeCell ref="B2:G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7"/>
  <sheetViews>
    <sheetView topLeftCell="D1" workbookViewId="0">
      <selection activeCell="F8" sqref="F8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66" customWidth="1"/>
    <col min="7" max="7" width="30" customWidth="1"/>
  </cols>
  <sheetData>
    <row r="1" spans="1:7" ht="18.75" x14ac:dyDescent="0.3">
      <c r="A1" s="1" t="s">
        <v>106</v>
      </c>
      <c r="B1" s="33" t="s">
        <v>314</v>
      </c>
      <c r="C1" s="33"/>
      <c r="D1" s="33"/>
      <c r="E1" s="33"/>
      <c r="F1" s="33"/>
      <c r="G1" s="33"/>
    </row>
    <row r="2" spans="1:7" ht="66.75" customHeight="1" x14ac:dyDescent="0.3">
      <c r="A2" s="2" t="s">
        <v>0</v>
      </c>
      <c r="B2" s="38" t="s">
        <v>506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5" x14ac:dyDescent="0.25">
      <c r="A4" s="4" t="s">
        <v>72</v>
      </c>
      <c r="B4" s="4" t="s">
        <v>216</v>
      </c>
      <c r="C4" s="4" t="s">
        <v>123</v>
      </c>
      <c r="D4" s="4" t="s">
        <v>107</v>
      </c>
      <c r="E4" s="4" t="s">
        <v>71</v>
      </c>
      <c r="F4" s="7" t="s">
        <v>507</v>
      </c>
      <c r="G4" s="4"/>
    </row>
    <row r="5" spans="1:7" ht="45" x14ac:dyDescent="0.25">
      <c r="A5" s="4" t="s">
        <v>94</v>
      </c>
      <c r="B5" s="4" t="s">
        <v>210</v>
      </c>
      <c r="C5" s="4" t="s">
        <v>132</v>
      </c>
      <c r="D5" s="4" t="s">
        <v>107</v>
      </c>
      <c r="E5" s="4"/>
      <c r="F5" s="7" t="s">
        <v>508</v>
      </c>
      <c r="G5" s="4" t="s">
        <v>218</v>
      </c>
    </row>
    <row r="6" spans="1:7" ht="45" x14ac:dyDescent="0.25">
      <c r="A6" s="4" t="s">
        <v>94</v>
      </c>
      <c r="B6" s="4" t="s">
        <v>122</v>
      </c>
      <c r="C6" s="4" t="s">
        <v>132</v>
      </c>
      <c r="D6" s="4" t="s">
        <v>107</v>
      </c>
      <c r="E6" s="4"/>
      <c r="F6" s="7" t="s">
        <v>509</v>
      </c>
      <c r="G6" s="4" t="s">
        <v>133</v>
      </c>
    </row>
    <row r="7" spans="1:7" ht="45" x14ac:dyDescent="0.25">
      <c r="A7" s="4"/>
      <c r="B7" s="4" t="s">
        <v>217</v>
      </c>
      <c r="C7" s="4" t="s">
        <v>82</v>
      </c>
      <c r="D7" s="4" t="s">
        <v>107</v>
      </c>
      <c r="E7" s="4" t="s">
        <v>83</v>
      </c>
      <c r="F7" s="7" t="s">
        <v>510</v>
      </c>
      <c r="G7" s="4"/>
    </row>
  </sheetData>
  <mergeCells count="2">
    <mergeCell ref="B1:G1"/>
    <mergeCell ref="B2:G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1"/>
  <sheetViews>
    <sheetView workbookViewId="0">
      <selection activeCell="B2" sqref="B2:G2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69.140625" customWidth="1"/>
    <col min="7" max="7" width="29.85546875" customWidth="1"/>
  </cols>
  <sheetData>
    <row r="1" spans="1:7" ht="18.75" x14ac:dyDescent="0.3">
      <c r="A1" s="1" t="s">
        <v>106</v>
      </c>
      <c r="B1" s="33" t="s">
        <v>315</v>
      </c>
      <c r="C1" s="33"/>
      <c r="D1" s="33"/>
      <c r="E1" s="33"/>
      <c r="F1" s="33"/>
      <c r="G1" s="33"/>
    </row>
    <row r="2" spans="1:7" ht="51.75" customHeight="1" x14ac:dyDescent="0.3">
      <c r="A2" s="2" t="s">
        <v>0</v>
      </c>
      <c r="B2" s="38" t="s">
        <v>565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5" x14ac:dyDescent="0.25">
      <c r="A4" s="4" t="s">
        <v>72</v>
      </c>
      <c r="B4" s="4" t="s">
        <v>219</v>
      </c>
      <c r="C4" s="4" t="s">
        <v>123</v>
      </c>
      <c r="D4" s="4" t="s">
        <v>107</v>
      </c>
      <c r="E4" s="4" t="s">
        <v>71</v>
      </c>
      <c r="F4" s="7" t="s">
        <v>511</v>
      </c>
      <c r="G4" s="4"/>
    </row>
    <row r="5" spans="1:7" ht="45" x14ac:dyDescent="0.25">
      <c r="A5" s="4" t="s">
        <v>94</v>
      </c>
      <c r="B5" s="4" t="s">
        <v>210</v>
      </c>
      <c r="C5" s="4" t="s">
        <v>132</v>
      </c>
      <c r="D5" s="4" t="s">
        <v>107</v>
      </c>
      <c r="E5" s="4"/>
      <c r="F5" s="7" t="s">
        <v>512</v>
      </c>
      <c r="G5" s="4" t="s">
        <v>218</v>
      </c>
    </row>
    <row r="6" spans="1:7" ht="45" x14ac:dyDescent="0.25">
      <c r="A6" s="4" t="s">
        <v>94</v>
      </c>
      <c r="B6" s="4" t="s">
        <v>84</v>
      </c>
      <c r="C6" s="4" t="s">
        <v>93</v>
      </c>
      <c r="D6" s="4" t="s">
        <v>107</v>
      </c>
      <c r="E6" s="4"/>
      <c r="F6" s="7" t="s">
        <v>513</v>
      </c>
      <c r="G6" s="4" t="s">
        <v>95</v>
      </c>
    </row>
    <row r="7" spans="1:7" ht="47.25" customHeight="1" x14ac:dyDescent="0.25">
      <c r="A7" s="4"/>
      <c r="B7" s="4" t="s">
        <v>220</v>
      </c>
      <c r="C7" s="4" t="s">
        <v>101</v>
      </c>
      <c r="D7" s="4" t="s">
        <v>107</v>
      </c>
      <c r="E7" s="4"/>
      <c r="F7" s="7" t="s">
        <v>514</v>
      </c>
      <c r="G7" s="4"/>
    </row>
    <row r="8" spans="1:7" ht="45" x14ac:dyDescent="0.25">
      <c r="A8" s="4"/>
      <c r="B8" s="4" t="s">
        <v>221</v>
      </c>
      <c r="C8" s="4" t="s">
        <v>222</v>
      </c>
      <c r="D8" s="4" t="s">
        <v>108</v>
      </c>
      <c r="E8" s="4"/>
      <c r="F8" s="7" t="s">
        <v>516</v>
      </c>
      <c r="G8" s="4"/>
    </row>
    <row r="9" spans="1:7" ht="45" x14ac:dyDescent="0.25">
      <c r="A9" s="4"/>
      <c r="B9" s="4" t="s">
        <v>79</v>
      </c>
      <c r="C9" s="4" t="s">
        <v>80</v>
      </c>
      <c r="D9" s="4" t="s">
        <v>107</v>
      </c>
      <c r="E9" s="17">
        <v>1</v>
      </c>
      <c r="F9" s="7" t="s">
        <v>517</v>
      </c>
      <c r="G9" s="4"/>
    </row>
    <row r="10" spans="1:7" ht="30" x14ac:dyDescent="0.25">
      <c r="A10" s="4"/>
      <c r="B10" s="4" t="s">
        <v>199</v>
      </c>
      <c r="C10" s="4" t="s">
        <v>82</v>
      </c>
      <c r="D10" s="4" t="s">
        <v>107</v>
      </c>
      <c r="E10" s="4" t="s">
        <v>83</v>
      </c>
      <c r="F10" s="7" t="s">
        <v>518</v>
      </c>
      <c r="G10" s="4"/>
    </row>
    <row r="11" spans="1:7" ht="30" x14ac:dyDescent="0.25">
      <c r="A11" s="4"/>
      <c r="B11" s="4" t="s">
        <v>202</v>
      </c>
      <c r="C11" s="4" t="s">
        <v>82</v>
      </c>
      <c r="D11" s="4" t="s">
        <v>108</v>
      </c>
      <c r="E11" s="4"/>
      <c r="F11" s="7" t="s">
        <v>519</v>
      </c>
      <c r="G11" s="4"/>
    </row>
  </sheetData>
  <mergeCells count="2">
    <mergeCell ref="B1:G1"/>
    <mergeCell ref="B2:G2"/>
  </mergeCells>
  <pageMargins left="0.75" right="0.75" top="1" bottom="1" header="0.5" footer="0.5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44C4-E4B6-4DCC-BE19-C7DF38E6CEDD}">
  <dimension ref="A1:G10"/>
  <sheetViews>
    <sheetView zoomScaleNormal="100" workbookViewId="0"/>
  </sheetViews>
  <sheetFormatPr baseColWidth="10" defaultRowHeight="15" x14ac:dyDescent="0.25"/>
  <cols>
    <col min="1" max="1" width="24.85546875" bestFit="1" customWidth="1"/>
    <col min="2" max="2" width="20" bestFit="1" customWidth="1"/>
    <col min="3" max="3" width="23.140625" bestFit="1" customWidth="1"/>
    <col min="4" max="4" width="12" customWidth="1"/>
    <col min="5" max="5" width="24" customWidth="1"/>
    <col min="6" max="6" width="65" customWidth="1"/>
    <col min="7" max="7" width="35.85546875" customWidth="1"/>
  </cols>
  <sheetData>
    <row r="1" spans="1:7" ht="18.75" x14ac:dyDescent="0.3">
      <c r="A1" s="1" t="s">
        <v>106</v>
      </c>
      <c r="B1" s="33" t="s">
        <v>551</v>
      </c>
      <c r="C1" s="33"/>
      <c r="D1" s="33"/>
      <c r="E1" s="33"/>
      <c r="F1" s="33"/>
      <c r="G1" s="33"/>
    </row>
    <row r="2" spans="1:7" ht="63.75" customHeight="1" x14ac:dyDescent="0.3">
      <c r="A2" s="2" t="s">
        <v>0</v>
      </c>
      <c r="B2" s="38" t="s">
        <v>556</v>
      </c>
      <c r="C2" s="38"/>
      <c r="D2" s="38"/>
      <c r="E2" s="38"/>
      <c r="F2" s="38"/>
      <c r="G2" s="38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66" x14ac:dyDescent="0.25">
      <c r="A4" s="9" t="s">
        <v>72</v>
      </c>
      <c r="B4" s="9" t="s">
        <v>557</v>
      </c>
      <c r="C4" s="9" t="s">
        <v>70</v>
      </c>
      <c r="D4" s="4" t="s">
        <v>107</v>
      </c>
      <c r="E4" s="9" t="s">
        <v>71</v>
      </c>
      <c r="F4" s="9" t="s">
        <v>558</v>
      </c>
      <c r="G4" s="4"/>
    </row>
    <row r="5" spans="1:7" ht="66" x14ac:dyDescent="0.25">
      <c r="A5" s="9" t="s">
        <v>94</v>
      </c>
      <c r="B5" s="9" t="s">
        <v>110</v>
      </c>
      <c r="C5" s="9" t="s">
        <v>93</v>
      </c>
      <c r="D5" s="4" t="s">
        <v>107</v>
      </c>
      <c r="E5" s="9"/>
      <c r="F5" s="9" t="s">
        <v>559</v>
      </c>
      <c r="G5" s="9" t="s">
        <v>115</v>
      </c>
    </row>
    <row r="6" spans="1:7" ht="49.5" x14ac:dyDescent="0.25">
      <c r="A6" s="9" t="s">
        <v>94</v>
      </c>
      <c r="B6" s="9" t="s">
        <v>84</v>
      </c>
      <c r="C6" s="9" t="s">
        <v>93</v>
      </c>
      <c r="D6" s="7" t="s">
        <v>107</v>
      </c>
      <c r="E6" s="9"/>
      <c r="F6" s="9" t="s">
        <v>560</v>
      </c>
      <c r="G6" s="9" t="s">
        <v>95</v>
      </c>
    </row>
    <row r="7" spans="1:7" ht="66" x14ac:dyDescent="0.25">
      <c r="A7" s="7"/>
      <c r="B7" s="9" t="s">
        <v>336</v>
      </c>
      <c r="C7" s="9" t="s">
        <v>137</v>
      </c>
      <c r="D7" s="7" t="s">
        <v>107</v>
      </c>
      <c r="E7" s="9"/>
      <c r="F7" s="9" t="s">
        <v>561</v>
      </c>
      <c r="G7" s="7"/>
    </row>
    <row r="8" spans="1:7" ht="49.5" x14ac:dyDescent="0.25">
      <c r="A8" s="7"/>
      <c r="B8" s="9" t="s">
        <v>79</v>
      </c>
      <c r="C8" s="9" t="s">
        <v>80</v>
      </c>
      <c r="D8" s="7" t="s">
        <v>107</v>
      </c>
      <c r="E8" s="9">
        <v>1</v>
      </c>
      <c r="F8" s="9" t="s">
        <v>562</v>
      </c>
      <c r="G8" s="7"/>
    </row>
    <row r="9" spans="1:7" ht="49.5" x14ac:dyDescent="0.25">
      <c r="A9" s="7"/>
      <c r="B9" s="9" t="s">
        <v>199</v>
      </c>
      <c r="C9" s="9" t="s">
        <v>82</v>
      </c>
      <c r="D9" s="7" t="s">
        <v>107</v>
      </c>
      <c r="E9" s="9" t="s">
        <v>83</v>
      </c>
      <c r="F9" s="9" t="s">
        <v>563</v>
      </c>
      <c r="G9" s="7"/>
    </row>
    <row r="10" spans="1:7" ht="66" x14ac:dyDescent="0.25">
      <c r="A10" s="7"/>
      <c r="B10" s="9" t="s">
        <v>202</v>
      </c>
      <c r="C10" s="9" t="s">
        <v>82</v>
      </c>
      <c r="D10" s="7" t="s">
        <v>407</v>
      </c>
      <c r="E10" s="9"/>
      <c r="F10" s="9" t="s">
        <v>564</v>
      </c>
      <c r="G10" s="7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4"/>
  <sheetViews>
    <sheetView topLeftCell="D1" workbookViewId="0">
      <selection activeCell="F15" sqref="F15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61.5703125" customWidth="1"/>
    <col min="7" max="7" width="35.140625" customWidth="1"/>
  </cols>
  <sheetData>
    <row r="1" spans="1:7" ht="18.75" x14ac:dyDescent="0.3">
      <c r="A1" s="1" t="s">
        <v>106</v>
      </c>
      <c r="B1" s="33" t="s">
        <v>316</v>
      </c>
      <c r="C1" s="33"/>
      <c r="D1" s="33"/>
      <c r="E1" s="33"/>
      <c r="F1" s="33"/>
      <c r="G1" s="33"/>
    </row>
    <row r="2" spans="1:7" ht="71.25" customHeight="1" x14ac:dyDescent="0.3">
      <c r="A2" s="2" t="s">
        <v>0</v>
      </c>
      <c r="B2" s="38" t="s">
        <v>520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5" x14ac:dyDescent="0.25">
      <c r="A4" s="4" t="s">
        <v>72</v>
      </c>
      <c r="B4" s="4" t="s">
        <v>223</v>
      </c>
      <c r="C4" s="4" t="s">
        <v>123</v>
      </c>
      <c r="D4" s="4" t="s">
        <v>107</v>
      </c>
      <c r="E4" s="4" t="s">
        <v>71</v>
      </c>
      <c r="F4" s="7" t="s">
        <v>521</v>
      </c>
      <c r="G4" s="4"/>
    </row>
    <row r="5" spans="1:7" ht="45" x14ac:dyDescent="0.25">
      <c r="A5" s="4" t="s">
        <v>94</v>
      </c>
      <c r="B5" s="4" t="s">
        <v>210</v>
      </c>
      <c r="C5" s="4" t="s">
        <v>132</v>
      </c>
      <c r="D5" s="4" t="s">
        <v>107</v>
      </c>
      <c r="E5" s="4"/>
      <c r="F5" s="7" t="s">
        <v>522</v>
      </c>
      <c r="G5" s="4" t="s">
        <v>218</v>
      </c>
    </row>
    <row r="6" spans="1:7" ht="60" x14ac:dyDescent="0.25">
      <c r="A6" s="4" t="s">
        <v>94</v>
      </c>
      <c r="B6" s="4" t="s">
        <v>122</v>
      </c>
      <c r="C6" s="4" t="s">
        <v>132</v>
      </c>
      <c r="D6" s="4" t="s">
        <v>108</v>
      </c>
      <c r="E6" s="4"/>
      <c r="F6" s="7" t="s">
        <v>523</v>
      </c>
      <c r="G6" s="4" t="s">
        <v>133</v>
      </c>
    </row>
    <row r="7" spans="1:7" ht="45" x14ac:dyDescent="0.25">
      <c r="A7" s="4"/>
      <c r="B7" s="4" t="s">
        <v>224</v>
      </c>
      <c r="C7" s="4" t="s">
        <v>105</v>
      </c>
      <c r="D7" s="4" t="s">
        <v>107</v>
      </c>
      <c r="E7" s="4"/>
      <c r="F7" s="7" t="s">
        <v>524</v>
      </c>
      <c r="G7" s="4"/>
    </row>
    <row r="8" spans="1:7" ht="45" x14ac:dyDescent="0.25">
      <c r="A8" s="4"/>
      <c r="B8" s="4" t="s">
        <v>225</v>
      </c>
      <c r="C8" s="4" t="s">
        <v>111</v>
      </c>
      <c r="D8" s="4" t="s">
        <v>107</v>
      </c>
      <c r="E8" s="4"/>
      <c r="F8" s="7" t="s">
        <v>525</v>
      </c>
      <c r="G8" s="4"/>
    </row>
    <row r="9" spans="1:7" ht="30" x14ac:dyDescent="0.25">
      <c r="A9" s="4"/>
      <c r="B9" s="4" t="s">
        <v>226</v>
      </c>
      <c r="C9" s="4" t="s">
        <v>101</v>
      </c>
      <c r="D9" s="4" t="s">
        <v>108</v>
      </c>
      <c r="E9" s="4"/>
      <c r="F9" s="7" t="s">
        <v>526</v>
      </c>
      <c r="G9" s="4"/>
    </row>
    <row r="10" spans="1:7" ht="45" x14ac:dyDescent="0.25">
      <c r="A10" s="4"/>
      <c r="B10" s="4" t="s">
        <v>141</v>
      </c>
      <c r="C10" s="4" t="s">
        <v>142</v>
      </c>
      <c r="D10" s="4" t="s">
        <v>107</v>
      </c>
      <c r="E10" s="4"/>
      <c r="F10" s="7" t="s">
        <v>527</v>
      </c>
      <c r="G10" s="4"/>
    </row>
    <row r="11" spans="1:7" ht="45" x14ac:dyDescent="0.25">
      <c r="A11" s="4"/>
      <c r="B11" s="4" t="s">
        <v>143</v>
      </c>
      <c r="C11" s="4" t="s">
        <v>132</v>
      </c>
      <c r="D11" s="4" t="s">
        <v>108</v>
      </c>
      <c r="E11" s="4"/>
      <c r="F11" s="7" t="s">
        <v>528</v>
      </c>
      <c r="G11" s="4"/>
    </row>
    <row r="12" spans="1:7" ht="45" x14ac:dyDescent="0.25">
      <c r="A12" s="4" t="s">
        <v>94</v>
      </c>
      <c r="B12" s="4" t="s">
        <v>144</v>
      </c>
      <c r="C12" s="4" t="s">
        <v>93</v>
      </c>
      <c r="D12" s="4" t="s">
        <v>107</v>
      </c>
      <c r="E12" s="4"/>
      <c r="F12" s="7" t="s">
        <v>529</v>
      </c>
      <c r="G12" s="4" t="s">
        <v>95</v>
      </c>
    </row>
    <row r="13" spans="1:7" ht="45.75" thickBot="1" x14ac:dyDescent="0.3">
      <c r="A13" s="4"/>
      <c r="B13" s="4" t="s">
        <v>145</v>
      </c>
      <c r="C13" s="4" t="s">
        <v>82</v>
      </c>
      <c r="D13" s="4" t="s">
        <v>107</v>
      </c>
      <c r="E13" s="4" t="s">
        <v>83</v>
      </c>
      <c r="F13" s="7" t="s">
        <v>530</v>
      </c>
      <c r="G13" s="4"/>
    </row>
    <row r="14" spans="1:7" ht="66.75" thickBot="1" x14ac:dyDescent="0.3">
      <c r="A14" s="4"/>
      <c r="B14" s="4" t="s">
        <v>227</v>
      </c>
      <c r="C14" s="4" t="s">
        <v>80</v>
      </c>
      <c r="D14" s="4" t="s">
        <v>107</v>
      </c>
      <c r="E14" s="17">
        <v>1</v>
      </c>
      <c r="F14" s="29" t="s">
        <v>531</v>
      </c>
      <c r="G14" s="4"/>
    </row>
  </sheetData>
  <mergeCells count="2">
    <mergeCell ref="B1:G1"/>
    <mergeCell ref="B2:G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3"/>
  <sheetViews>
    <sheetView workbookViewId="0"/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4" bestFit="1" customWidth="1"/>
    <col min="4" max="4" width="21.85546875" customWidth="1"/>
    <col min="5" max="5" width="11.85546875" customWidth="1"/>
    <col min="6" max="6" width="54.28515625" customWidth="1"/>
    <col min="7" max="7" width="40.42578125" customWidth="1"/>
  </cols>
  <sheetData>
    <row r="1" spans="1:7" ht="18.75" x14ac:dyDescent="0.3">
      <c r="A1" s="1" t="s">
        <v>106</v>
      </c>
      <c r="B1" s="33" t="s">
        <v>317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8" t="s">
        <v>532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5" x14ac:dyDescent="0.25">
      <c r="A4" s="4" t="s">
        <v>72</v>
      </c>
      <c r="B4" s="4" t="s">
        <v>228</v>
      </c>
      <c r="C4" s="4" t="s">
        <v>123</v>
      </c>
      <c r="D4" s="4" t="s">
        <v>107</v>
      </c>
      <c r="E4" t="s">
        <v>71</v>
      </c>
      <c r="F4" s="7" t="s">
        <v>533</v>
      </c>
      <c r="G4" s="4"/>
    </row>
    <row r="5" spans="1:7" ht="60" x14ac:dyDescent="0.25">
      <c r="A5" s="4" t="s">
        <v>94</v>
      </c>
      <c r="B5" s="4" t="s">
        <v>210</v>
      </c>
      <c r="C5" s="4" t="s">
        <v>132</v>
      </c>
      <c r="D5" s="4" t="s">
        <v>108</v>
      </c>
      <c r="E5" s="4"/>
      <c r="F5" s="7" t="s">
        <v>534</v>
      </c>
      <c r="G5" s="4" t="s">
        <v>218</v>
      </c>
    </row>
    <row r="6" spans="1:7" ht="45" x14ac:dyDescent="0.25">
      <c r="A6" s="4" t="s">
        <v>94</v>
      </c>
      <c r="B6" s="4" t="s">
        <v>122</v>
      </c>
      <c r="C6" s="4" t="s">
        <v>132</v>
      </c>
      <c r="D6" s="4" t="s">
        <v>108</v>
      </c>
      <c r="E6" s="4"/>
      <c r="F6" s="7" t="s">
        <v>535</v>
      </c>
      <c r="G6" s="4" t="s">
        <v>133</v>
      </c>
    </row>
    <row r="7" spans="1:7" ht="45" x14ac:dyDescent="0.25">
      <c r="A7" s="4"/>
      <c r="B7" s="4" t="s">
        <v>125</v>
      </c>
      <c r="C7" s="4" t="s">
        <v>126</v>
      </c>
      <c r="D7" s="4" t="s">
        <v>107</v>
      </c>
      <c r="E7" s="4"/>
      <c r="F7" s="7" t="s">
        <v>536</v>
      </c>
      <c r="G7" s="4"/>
    </row>
    <row r="8" spans="1:7" ht="60" x14ac:dyDescent="0.25">
      <c r="A8" s="4"/>
      <c r="B8" s="4" t="s">
        <v>77</v>
      </c>
      <c r="C8" s="4" t="s">
        <v>138</v>
      </c>
      <c r="D8" s="4" t="s">
        <v>108</v>
      </c>
      <c r="E8" s="4"/>
      <c r="F8" s="7" t="s">
        <v>537</v>
      </c>
      <c r="G8" s="4"/>
    </row>
    <row r="9" spans="1:7" ht="60" x14ac:dyDescent="0.25">
      <c r="A9" s="4"/>
      <c r="B9" s="4" t="s">
        <v>229</v>
      </c>
      <c r="C9" s="4" t="s">
        <v>101</v>
      </c>
      <c r="D9" s="4" t="s">
        <v>107</v>
      </c>
      <c r="E9" s="4"/>
      <c r="F9" s="7" t="s">
        <v>538</v>
      </c>
      <c r="G9" s="4"/>
    </row>
    <row r="10" spans="1:7" ht="45" x14ac:dyDescent="0.25">
      <c r="A10" s="4"/>
      <c r="B10" s="4" t="s">
        <v>199</v>
      </c>
      <c r="C10" s="4" t="s">
        <v>82</v>
      </c>
      <c r="D10" s="4" t="s">
        <v>107</v>
      </c>
      <c r="E10" s="4"/>
      <c r="F10" s="7" t="s">
        <v>539</v>
      </c>
      <c r="G10" s="4"/>
    </row>
    <row r="11" spans="1:7" ht="45" x14ac:dyDescent="0.25">
      <c r="A11" s="4"/>
      <c r="B11" s="4" t="s">
        <v>202</v>
      </c>
      <c r="C11" s="4" t="s">
        <v>82</v>
      </c>
      <c r="D11" s="4" t="s">
        <v>108</v>
      </c>
      <c r="E11" s="4"/>
      <c r="F11" s="7" t="s">
        <v>540</v>
      </c>
      <c r="G11" s="4"/>
    </row>
    <row r="12" spans="1:7" ht="30" x14ac:dyDescent="0.25">
      <c r="A12" s="4" t="s">
        <v>94</v>
      </c>
      <c r="B12" s="4" t="s">
        <v>127</v>
      </c>
      <c r="C12" s="4" t="s">
        <v>93</v>
      </c>
      <c r="D12" s="4" t="s">
        <v>107</v>
      </c>
      <c r="E12" s="4"/>
      <c r="F12" s="7" t="s">
        <v>541</v>
      </c>
      <c r="G12" s="4" t="s">
        <v>95</v>
      </c>
    </row>
    <row r="13" spans="1:7" ht="45" x14ac:dyDescent="0.25">
      <c r="A13" s="4"/>
      <c r="B13" s="4" t="s">
        <v>230</v>
      </c>
      <c r="C13" s="4" t="s">
        <v>80</v>
      </c>
      <c r="D13" s="4" t="s">
        <v>107</v>
      </c>
      <c r="E13" s="17">
        <v>0</v>
      </c>
      <c r="F13" s="7" t="s">
        <v>542</v>
      </c>
      <c r="G13" s="4"/>
    </row>
  </sheetData>
  <mergeCells count="2">
    <mergeCell ref="B1:G1"/>
    <mergeCell ref="B2:G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"/>
  <sheetViews>
    <sheetView topLeftCell="B1" workbookViewId="0">
      <selection activeCell="B3" sqref="B3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4" bestFit="1" customWidth="1"/>
    <col min="4" max="4" width="21.85546875" customWidth="1"/>
    <col min="5" max="5" width="11.85546875" customWidth="1"/>
    <col min="6" max="6" width="63.28515625" customWidth="1"/>
    <col min="7" max="7" width="54.85546875" customWidth="1"/>
  </cols>
  <sheetData>
    <row r="1" spans="1:7" ht="18.75" x14ac:dyDescent="0.3">
      <c r="A1" s="1" t="s">
        <v>106</v>
      </c>
      <c r="B1" s="33" t="s">
        <v>319</v>
      </c>
      <c r="C1" s="33"/>
      <c r="D1" s="33"/>
      <c r="E1" s="33"/>
      <c r="F1" s="33"/>
      <c r="G1" s="33"/>
    </row>
    <row r="2" spans="1:7" ht="70.5" customHeight="1" x14ac:dyDescent="0.3">
      <c r="A2" s="2" t="s">
        <v>0</v>
      </c>
      <c r="B2" s="38" t="s">
        <v>547</v>
      </c>
      <c r="C2" s="37"/>
      <c r="D2" s="37"/>
      <c r="E2" s="37"/>
      <c r="F2" s="37"/>
      <c r="G2" s="37"/>
    </row>
    <row r="3" spans="1:7" ht="15.75" x14ac:dyDescent="0.25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5" x14ac:dyDescent="0.25">
      <c r="A4" s="4" t="s">
        <v>72</v>
      </c>
      <c r="B4" s="4" t="s">
        <v>231</v>
      </c>
      <c r="C4" s="4" t="s">
        <v>123</v>
      </c>
      <c r="D4" s="4" t="s">
        <v>71</v>
      </c>
      <c r="E4" s="4"/>
      <c r="F4" s="7" t="s">
        <v>543</v>
      </c>
      <c r="G4" s="4"/>
    </row>
    <row r="5" spans="1:7" ht="45" x14ac:dyDescent="0.25">
      <c r="A5" s="4" t="s">
        <v>94</v>
      </c>
      <c r="B5" s="4" t="s">
        <v>228</v>
      </c>
      <c r="C5" s="4" t="s">
        <v>132</v>
      </c>
      <c r="D5" s="4"/>
      <c r="E5" s="4"/>
      <c r="F5" s="7" t="s">
        <v>544</v>
      </c>
      <c r="G5" s="4" t="s">
        <v>234</v>
      </c>
    </row>
    <row r="6" spans="1:7" ht="45" x14ac:dyDescent="0.25">
      <c r="A6" s="4" t="s">
        <v>94</v>
      </c>
      <c r="B6" s="4" t="s">
        <v>84</v>
      </c>
      <c r="C6" s="4" t="s">
        <v>93</v>
      </c>
      <c r="D6" s="4"/>
      <c r="E6" s="4"/>
      <c r="F6" s="7" t="s">
        <v>545</v>
      </c>
      <c r="G6" s="4" t="s">
        <v>95</v>
      </c>
    </row>
    <row r="7" spans="1:7" ht="45" x14ac:dyDescent="0.25">
      <c r="A7" s="4"/>
      <c r="B7" s="4" t="s">
        <v>232</v>
      </c>
      <c r="C7" s="4" t="s">
        <v>137</v>
      </c>
      <c r="D7" s="4" t="s">
        <v>233</v>
      </c>
      <c r="E7" s="4"/>
      <c r="F7" s="7" t="s">
        <v>546</v>
      </c>
      <c r="G7" s="4"/>
    </row>
  </sheetData>
  <mergeCells count="2">
    <mergeCell ref="B1:G1"/>
    <mergeCell ref="B2: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42CE7EA3A7964E9436DBE7E03CB6CB" ma:contentTypeVersion="7" ma:contentTypeDescription="Create a new document." ma:contentTypeScope="" ma:versionID="63db46f1abc2b6b278c21e483c5aa9be">
  <xsd:schema xmlns:xsd="http://www.w3.org/2001/XMLSchema" xmlns:xs="http://www.w3.org/2001/XMLSchema" xmlns:p="http://schemas.microsoft.com/office/2006/metadata/properties" xmlns:ns2="6bcc5027-7626-4b3f-a1b8-943f1b440c70" targetNamespace="http://schemas.microsoft.com/office/2006/metadata/properties" ma:root="true" ma:fieldsID="76940422befb73c746558f8c0b4d7441" ns2:_="">
    <xsd:import namespace="6bcc5027-7626-4b3f-a1b8-943f1b440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c5027-7626-4b3f-a1b8-943f1b440c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3E8581-B97A-4720-A878-3739A3D458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c5027-7626-4b3f-a1b8-943f1b440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02F4C4-2459-471B-AF18-AA406C041954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6bcc5027-7626-4b3f-a1b8-943f1b440c70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D579197-D438-4EF6-9CBD-9164EE6348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Historial de versiones</vt:lpstr>
      <vt:lpstr>INDICE</vt:lpstr>
      <vt:lpstr>rol</vt:lpstr>
      <vt:lpstr>usuario</vt:lpstr>
      <vt:lpstr>usuario_rol</vt:lpstr>
      <vt:lpstr>area</vt:lpstr>
      <vt:lpstr>usuario_area</vt:lpstr>
      <vt:lpstr>sistema</vt:lpstr>
      <vt:lpstr>area_sistema</vt:lpstr>
      <vt:lpstr>tipo_solicitud</vt:lpstr>
      <vt:lpstr>prioridad_solicitud</vt:lpstr>
      <vt:lpstr>estado_solicitud</vt:lpstr>
      <vt:lpstr>solicitud</vt:lpstr>
      <vt:lpstr>solicitud_desarrollador</vt:lpstr>
      <vt:lpstr>solicitud_historial_estado</vt:lpstr>
      <vt:lpstr>solicitud_aprobacion</vt:lpstr>
      <vt:lpstr>solicitud_comentario</vt:lpstr>
      <vt:lpstr>solicitud_adjunto</vt:lpstr>
      <vt:lpstr>notificacion</vt:lpstr>
      <vt:lpstr>usuario_credencial</vt:lpstr>
      <vt:lpstr>menu_opcion</vt:lpstr>
      <vt:lpstr>rol_menu_opcion</vt:lpstr>
      <vt:lpstr>tipo_modificacion</vt:lpstr>
      <vt:lpstr>solicitud_modificacion</vt:lpstr>
      <vt:lpstr>solicitud_requerimiento_tecnico</vt:lpstr>
      <vt:lpstr>tarea_desarrollo</vt:lpstr>
      <vt:lpstr>tarea_desarrollo_asignacion</vt:lpstr>
      <vt:lpstr>actividad_reciente</vt:lpstr>
      <vt:lpstr>proyecto</vt:lpstr>
      <vt:lpstr>proyecto_solicitud</vt:lpstr>
      <vt:lpstr>proyecto_miembro</vt:lpstr>
      <vt:lpstr>sistema_desarrollador</vt:lpstr>
      <vt:lpstr>documento_proyecto</vt:lpstr>
      <vt:lpstr>evento_calendario</vt:lpstr>
      <vt:lpstr>evento_participante</vt:lpstr>
    </vt:vector>
  </TitlesOfParts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Hurtado;Eduaro Mercado</dc:creator>
  <cp:lastModifiedBy>Eduardo Mercado</cp:lastModifiedBy>
  <dcterms:created xsi:type="dcterms:W3CDTF">2026-04-21T05:42:21Z</dcterms:created>
  <dcterms:modified xsi:type="dcterms:W3CDTF">2026-04-28T16:02:33Z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0x0101005142CE7EA3A7964E9436DBE7E03CB6CB</vt:lpwstr>
  </property>
</Properties>
</file>